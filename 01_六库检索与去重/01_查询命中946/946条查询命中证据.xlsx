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1.xml" ContentType="application/vnd.openxmlformats-officedocument.spreadsheetml.comments+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7ac110cea84fbc" /></Relationships>
</file>

<file path=xl/workbook.xml><?xml version="1.0" encoding="utf-8"?>
<x:workbook xmlns:x="http://schemas.openxmlformats.org/spreadsheetml/2006/main">
  <x:sheets>
    <x:sheet xmlns:r="http://schemas.openxmlformats.org/officeDocument/2006/relationships" name="命中汇总" sheetId="1" r:id="R0e6f32fd5b9e40b6"/>
    <x:sheet xmlns:r="http://schemas.openxmlformats.org/officeDocument/2006/relationships" name="查询明细" sheetId="2" r:id="Re85d26e0a8b34f85"/>
    <x:sheet xmlns:r="http://schemas.openxmlformats.org/officeDocument/2006/relationships" name="检索词与范围" sheetId="3" r:id="R1abc03a4cab94bf6"/>
  </x:sheets>
</x:workbook>
</file>

<file path=xl/comments1.xml><?xml version="1.0" encoding="utf-8"?>
<x:comments xmlns:x="http://schemas.openxmlformats.org/spreadsheetml/2006/main">
  <x:authors>
    <x:author/>
  </x:authors>
  <x:commentList>
    <x:comment ref="A11" authorId="0">
      <x:text>
        <x:r>
          <x:t>来源：Springer Nature 官方支持文档，Springer Nature Link advanced search option（更新于 2025-02-26）。
https://support.springernature.com/en/support/solutions/articles/6000080445-springer-nature-link-advanced-search-option</x:t>
        </x:r>
      </x:text>
    </x:comment>
  </x:commentList>
</x:comments>
</file>

<file path=xl/sharedStrings.xml><?xml version="1.0" encoding="utf-8"?>
<ns0:sst xmlns:ns0="http://schemas.openxmlformats.org/spreadsheetml/2006/main" count="0" uniqueCount="0"/>
</file>

<file path=xl/styles.xml><?xml version="1.0" encoding="utf-8"?>
<x:styleSheet xmlns:x="http://schemas.openxmlformats.org/spreadsheetml/2006/main">
  <x:numFmts count="1">
    <x:numFmt numFmtId="200" formatCode="#,##0"/>
  </x:numFmts>
  <x:fonts count="6">
    <x:font>
      <x:sz val="11"/>
      <x:name val="Carlito"/>
    </x:font>
    <x:font>
      <x:sz val="11"/>
      <x:color rgb="FF243044"/>
      <x:name val="Arial"/>
    </x:font>
    <x:font>
      <x:b/>
      <x:sz val="16"/>
      <x:color rgb="FF243044"/>
      <x:name val="Arial"/>
    </x:font>
    <x:font>
      <x:sz val="11"/>
      <x:color rgb="FF596579"/>
      <x:name val="Arial"/>
    </x:font>
    <x:font>
      <x:b/>
      <x:sz val="11"/>
      <x:color rgb="FFFFFFFF"/>
      <x:name val="Arial"/>
    </x:font>
    <x:font>
      <x:b/>
      <x:sz val="11"/>
      <x:color rgb="FF274566"/>
      <x:name val="Arial"/>
    </x:font>
  </x:fonts>
  <x:fills count="6">
    <x:fill>
      <x:patternFill patternType="none"/>
    </x:fill>
    <x:fill>
      <x:patternFill patternType="gray125"/>
    </x:fill>
    <x:fill>
      <x:patternFill patternType="solid">
        <x:fgColor rgb="FFFFFFFF"/>
      </x:patternFill>
    </x:fill>
    <x:fill>
      <x:patternFill patternType="solid">
        <x:fgColor rgb="FFF4F7FA"/>
      </x:patternFill>
    </x:fill>
    <x:fill>
      <x:patternFill patternType="solid">
        <x:fgColor rgb="FF274566"/>
      </x:patternFill>
    </x:fill>
    <x:fill>
      <x:patternFill patternType="solid">
        <x:fgColor rgb="FFEEF3F8"/>
      </x:patternFill>
    </x:fill>
  </x:fills>
  <x:borders count="6">
    <x:border>
      <x:left/>
      <x:right/>
      <x:top/>
      <x:bottom/>
      <x:diagonal/>
    </x:border>
    <x:border>
      <x:left/>
      <x:right/>
      <x:top/>
      <x:bottom style="thin">
        <x:color rgb="FFA8BAC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A8BACD"/>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2" xfId="0" applyNumberFormat="1" applyFont="1" applyFill="1" applyBorder="1" applyAlignment="1">
      <x:alignment horizontal="center" vertical="center"/>
    </x:xf>
    <x:xf numFmtId="0" fontId="4" fillId="4" borderId="3" xfId="0" applyNumberFormat="1" applyFont="1" applyFill="1" applyBorder="1" applyAlignment="1">
      <x:alignment horizontal="center" vertical="center"/>
    </x:xf>
    <x:xf numFmtId="0" fontId="4" fillId="4" borderId="4" xfId="0" applyNumberFormat="1" applyFont="1" applyFill="1" applyBorder="1" applyAlignment="1">
      <x:alignment horizontal="center" vertical="center"/>
    </x:xf>
    <x:xf numFmtId="200" fontId="1" fillId="2"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0" fontId="5" fillId="5" borderId="0" xfId="0" applyNumberFormat="1" applyFont="1" applyFill="1" applyBorder="1" applyAlignment="1">
      <x:alignment vertical="center"/>
    </x:xf>
    <x:xf numFmtId="200" fontId="5" fillId="5" borderId="0" xfId="0" applyNumberFormat="1" applyFont="1" applyFill="1" applyBorder="1" applyAlignment="1">
      <x:alignment horizontal="right" vertical="center"/>
    </x:xf>
    <x:xf numFmtId="0" fontId="5" fillId="5" borderId="5" xfId="0" applyNumberFormat="1" applyFont="1" applyFill="1" applyBorder="1" applyAlignment="1">
      <x:alignment vertical="center"/>
    </x:xf>
    <x:xf numFmtId="200" fontId="5" fillId="5" borderId="5"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8bebf1451c4670" /><Relationship Type="http://schemas.openxmlformats.org/officeDocument/2006/relationships/theme" Target="/xl/theme/theme1.xml" Id="Reb876eda779b4690" /><Relationship Type="http://schemas.openxmlformats.org/officeDocument/2006/relationships/sharedStrings" Target="/xl/sharedStrings.xml" Id="Raa533698363644a5" /><Relationship Type="http://schemas.openxmlformats.org/officeDocument/2006/relationships/worksheet" Target="/xl/worksheets/sheet1.xml" Id="R0e6f32fd5b9e40b6" /><Relationship Type="http://schemas.openxmlformats.org/officeDocument/2006/relationships/worksheet" Target="/xl/worksheets/sheet2.xml" Id="Re85d26e0a8b34f85" /><Relationship Type="http://schemas.openxmlformats.org/officeDocument/2006/relationships/worksheet" Target="/xl/worksheets/sheet3.xml" Id="R1abc03a4cab94bf6" /></Relationships>
</file>

<file path=xl/tables/table1.xml><?xml version="1.0" encoding="utf-8"?>
<x:table xmlns:x="http://schemas.openxmlformats.org/spreadsheetml/2006/main" id="1" name="QueryEvidence" displayName="QueryEvidence" ref="A5:E96" headerRowCount="1" totalsRowCount="0" totalsRowShown="0">
  <x:autoFilter ref="A5:E96"/>
  <x:tableColumns count="5">
    <x:tableColumn id="1" name="数据库"/>
    <x:tableColumn id="2" name="查询 ID"/>
    <x:tableColumn id="3" name="查询类型"/>
    <x:tableColumn id="4" name="命中数"/>
    <x:tableColumn id="5" name="对应截图"/>
  </x:tableColumns>
  <x:tableStyleInfo name="TableStyleMedium2" showFirstColumn="0" showLastColumn="0" showRowStripes="0" showColumnStripes="0"/>
</x:table>
</file>

<file path=xl/tables/table2.xml><?xml version="1.0" encoding="utf-8"?>
<x:table xmlns:x="http://schemas.openxmlformats.org/spreadsheetml/2006/main" id="2" name="SearchTerms" displayName="SearchTerms" ref="A12:D103" headerRowCount="1" totalsRowCount="0" totalsRowShown="0">
  <x:autoFilter ref="A12:D103"/>
  <x:tableColumns count="4">
    <x:tableColumn id="1" name="数据库"/>
    <x:tableColumn id="2" name="查询 ID"/>
    <x:tableColumn id="3" name="检索字段"/>
    <x:tableColumn id="4" name="精确检索式"/>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5ba708f6d647c6" /></Relationships>
</file>

<file path=xl/worksheets/_rels/sheet3.xml.rels>&#65279;<?xml version="1.0" encoding="utf-8"?><Relationships xmlns="http://schemas.openxmlformats.org/package/2006/relationships"><Relationship Type="http://schemas.openxmlformats.org/officeDocument/2006/relationships/comments" Target="/xl/comments1.xml" Id="R5ed2de81bcd04955" /><Relationship Type="http://schemas.openxmlformats.org/officeDocument/2006/relationships/vmlDrawing" Target="/xl/drawings/vmldrawing.vml" Id="R41bc8a4e607a4336" /><Relationship Type="http://schemas.openxmlformats.org/officeDocument/2006/relationships/table" Target="/xl/tables/table2.xml" Id="R7713bb7005fb43bb" /></Relationships>
</file>

<file path=xl/worksheets/sheet1.xml><?xml version="1.0" encoding="utf-8"?>
<x:worksheet xmlns:x="http://schemas.openxmlformats.org/spreadsheetml/2006/main">
  <x:sheetPr>
    <x:tabColor rgb="FF274566"/>
  </x:sheetPr>
  <x:sheetViews>
    <x:sheetView showGridLines="0" workbookViewId="0"/>
  </x:sheetViews>
  <x:sheetFormatPr defaultRowHeight="15"/>
  <x:cols>
    <x:col min="1" max="1" width="29" hidden="0" customWidth="1"/>
    <x:col min="2" max="2" width="23" hidden="0" customWidth="1"/>
    <x:col min="3" max="3" width="23" hidden="0" customWidth="1"/>
    <x:col min="4" max="4" width="23" hidden="0" customWidth="1"/>
  </x:cols>
  <x:sheetData>
    <x:row r="1" ht="12" customHeight="1">
      <x:c r="A1" s="2"/>
      <x:c r="B1" s="2"/>
      <x:c r="C1" s="2"/>
      <x:c r="D1" s="2"/>
    </x:row>
    <x:row r="2" ht="30" customHeight="1">
      <x:c r="A2" s="3" t="str">
        <x:v>六库查询命中汇总</x:v>
      </x:c>
      <x:c r="B2" s="2"/>
      <x:c r="C2" s="2"/>
      <x:c r="D2" s="2"/>
    </x:row>
    <x:row r="3" ht="12" customHeight="1">
      <x:c r="A3" s="4"/>
      <x:c r="B3" s="4"/>
      <x:c r="C3" s="4"/>
      <x:c r="D3" s="4"/>
    </x:row>
    <x:row r="4" ht="12" customHeight="1">
      <x:c r="A4" s="2"/>
      <x:c r="B4" s="2"/>
      <x:c r="C4" s="2"/>
      <x:c r="D4" s="2"/>
    </x:row>
    <x:row r="5" ht="30" customHeight="1">
      <x:c r="A5" s="21" t="str">
        <x:v>数据库</x:v>
      </x:c>
      <x:c r="B5" s="22" t="str">
        <x:v>核心命中</x:v>
      </x:c>
      <x:c r="C5" s="22" t="str">
        <x:v>敏感性命中</x:v>
      </x:c>
      <x:c r="D5" s="23" t="str">
        <x:v>合计</x:v>
      </x:c>
    </x:row>
    <x:row r="6" ht="33" customHeight="1">
      <x:c r="A6" s="6" t="str">
        <x:v>ACM DL</x:v>
      </x:c>
      <x:c r="B6" s="27">
        <x:f>SUMIFS('查询明细'!$D$6:$D$96,'查询明细'!$A$6:$A$96,A6,'查询明细'!$C$6:$C$96,"核心")</x:f>
        <x:v>59</x:v>
      </x:c>
      <x:c r="C6" s="27">
        <x:f>SUMIFS('查询明细'!$D$6:$D$96,'查询明细'!$A$6:$A$96,A6,'查询明细'!$C$6:$C$96,"敏感性")</x:f>
        <x:v>101</x:v>
      </x:c>
      <x:c r="D6" s="27">
        <x:f>SUM(B6:C6)</x:f>
        <x:v>160</x:v>
      </x:c>
    </x:row>
    <x:row r="7" ht="33" customHeight="1">
      <x:c r="A7" s="7" t="str">
        <x:v>IEEE Xplore</x:v>
      </x:c>
      <x:c r="B7" s="28">
        <x:f>SUMIFS('查询明细'!$D$6:$D$96,'查询明细'!$A$6:$A$96,A7,'查询明细'!$C$6:$C$96,"核心")</x:f>
        <x:v>130</x:v>
      </x:c>
      <x:c r="C7" s="28">
        <x:f>SUMIFS('查询明细'!$D$6:$D$96,'查询明细'!$A$6:$A$96,A7,'查询明细'!$C$6:$C$96,"敏感性")</x:f>
        <x:v>275</x:v>
      </x:c>
      <x:c r="D7" s="28">
        <x:f>SUM(B7:C7)</x:f>
        <x:v>405</x:v>
      </x:c>
    </x:row>
    <x:row r="8" ht="33" customHeight="1">
      <x:c r="A8" s="6" t="str">
        <x:v>ScienceDirect</x:v>
      </x:c>
      <x:c r="B8" s="27">
        <x:f>SUMIFS('查询明细'!$D$6:$D$96,'查询明细'!$A$6:$A$96,A8,'查询明细'!$C$6:$C$96,"核心")</x:f>
        <x:v>33</x:v>
      </x:c>
      <x:c r="C8" s="27">
        <x:f>SUMIFS('查询明细'!$D$6:$D$96,'查询明细'!$A$6:$A$96,A8,'查询明细'!$C$6:$C$96,"敏感性")</x:f>
        <x:v>0</x:v>
      </x:c>
      <x:c r="D8" s="27">
        <x:f>SUM(B8:C8)</x:f>
        <x:v>33</x:v>
      </x:c>
    </x:row>
    <x:row r="9" ht="33" customHeight="1">
      <x:c r="A9" s="7" t="str">
        <x:v>SpringerLink</x:v>
      </x:c>
      <x:c r="B9" s="28">
        <x:f>SUMIFS('查询明细'!$D$6:$D$96,'查询明细'!$A$6:$A$96,A9,'查询明细'!$C$6:$C$96,"核心")</x:f>
        <x:v>54</x:v>
      </x:c>
      <x:c r="C9" s="28">
        <x:f>SUMIFS('查询明细'!$D$6:$D$96,'查询明细'!$A$6:$A$96,A9,'查询明细'!$C$6:$C$96,"敏感性")</x:f>
        <x:v>0</x:v>
      </x:c>
      <x:c r="D9" s="28">
        <x:f>SUM(B9:C9)</x:f>
        <x:v>54</x:v>
      </x:c>
    </x:row>
    <x:row r="10" ht="33" customHeight="1">
      <x:c r="A10" s="6" t="str">
        <x:v>arXiv</x:v>
      </x:c>
      <x:c r="B10" s="27">
        <x:f>SUMIFS('查询明细'!$D$6:$D$96,'查询明细'!$A$6:$A$96,A10,'查询明细'!$C$6:$C$96,"核心")</x:f>
        <x:v>72</x:v>
      </x:c>
      <x:c r="C10" s="27">
        <x:f>SUMIFS('查询明细'!$D$6:$D$96,'查询明细'!$A$6:$A$96,A10,'查询明细'!$C$6:$C$96,"敏感性")</x:f>
        <x:v>22</x:v>
      </x:c>
      <x:c r="D10" s="27">
        <x:f>SUM(B10:C10)</x:f>
        <x:v>94</x:v>
      </x:c>
    </x:row>
    <x:row r="11" ht="33" customHeight="1">
      <x:c r="A11" s="7" t="str">
        <x:v>Google Scholar</x:v>
      </x:c>
      <x:c r="B11" s="28">
        <x:f>SUMIFS('查询明细'!$D$6:$D$96,'查询明细'!$A$6:$A$96,A11,'查询明细'!$C$6:$C$96,"核心")</x:f>
        <x:v>200</x:v>
      </x:c>
      <x:c r="C11" s="28">
        <x:f>SUMIFS('查询明细'!$D$6:$D$96,'查询明细'!$A$6:$A$96,A11,'查询明细'!$C$6:$C$96,"敏感性")</x:f>
        <x:v>0</x:v>
      </x:c>
      <x:c r="D11" s="28">
        <x:f>SUM(B11:C11)</x:f>
        <x:v>200</x:v>
      </x:c>
    </x:row>
    <x:row r="12" ht="35" customHeight="1">
      <x:c r="A12" s="34" t="str">
        <x:v>合计</x:v>
      </x:c>
      <x:c r="B12" s="35">
        <x:f>SUM(B6:B11)</x:f>
        <x:v>548</x:v>
      </x:c>
      <x:c r="C12" s="35">
        <x:f>SUM(C6:C11)</x:f>
        <x:v>398</x:v>
      </x:c>
      <x:c r="D12" s="35">
        <x:f>SUM(D6:D11)</x:f>
        <x:v>946</x:v>
      </x:c>
    </x:row>
    <x:row r="13" ht="26" customHeight="1">
      <x:c r="A13" s="2"/>
      <x:c r="B13" s="2"/>
      <x:c r="C13" s="2"/>
      <x:c r="D13" s="2"/>
    </x:row>
    <x:row r="14" ht="26" customHeight="1">
      <x:c r="A14" s="5" t="inlineStr">
        <x:is>
          <x:t xml:space="preserve">946 条为含重复的查询命中，尚未去重。</x:t>
        </x:is>
      </x:c>
      <x:c r="B14" s="5"/>
      <x:c r="C14" s="5"/>
      <x:c r="D14" s="5"/>
    </x:row>
    <x:row r="15" ht="26" customHeight="1">
      <x:c r="A15" s="5" t="inlineStr">
        <x:is>
          <x:t xml:space="preserve">Google Scholar 按相关性排序提取前 200 条。</x:t>
        </x:is>
      </x:c>
      <x:c r="B15" s="5"/>
      <x:c r="C15" s="5"/>
      <x:c r="D15" s="5"/>
    </x:row>
    <x:row r="16" ht="26" customHeight="1">
      <x:c r="A16" s="5" t="str">
        <x:v>检索范围、检索式及计数口径见“检索词与范围”工作表。</x:v>
      </x:c>
      <x:c r="B16" s="5"/>
      <x:c r="C16" s="5"/>
      <x:c r="D16" s="5"/>
    </x:row>
    <x:row r="17" ht="26" customHeight="1">
      <x:c r="A17" s="2"/>
      <x:c r="B17" s="2"/>
      <x:c r="C17" s="2"/>
      <x:c r="D17" s="2"/>
    </x:row>
    <x:row r="18" ht="26" customHeight="1">
      <x:c r="A18" s="2"/>
      <x:c r="B18" s="2"/>
      <x:c r="C18" s="2"/>
      <x:c r="D1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40" hidden="0" customWidth="1"/>
    <x:col min="3" max="3" width="14" hidden="0" customWidth="1"/>
    <x:col min="4" max="4" width="13" hidden="0" customWidth="1"/>
    <x:col min="5" max="5" width="80" hidden="0" customWidth="1"/>
  </x:cols>
  <x:sheetData>
    <x:row r="1" ht="12" customHeight="1">
      <x:c r="A1" s="2"/>
      <x:c r="B1" s="2"/>
      <x:c r="C1" s="2"/>
      <x:c r="D1" s="2"/>
      <x:c r="E1" s="2"/>
    </x:row>
    <x:row r="2" ht="30" customHeight="1">
      <x:c r="A2" s="3" t="str">
        <x:v>查询明细</x:v>
      </x:c>
      <x:c r="B2" s="2"/>
      <x:c r="C2" s="2"/>
      <x:c r="D2" s="2"/>
      <x:c r="E2" s="2"/>
    </x:row>
    <x:row r="3" ht="12" customHeight="1">
      <x:c r="A3" s="4"/>
      <x:c r="B3" s="4"/>
      <x:c r="C3" s="4"/>
      <x:c r="D3" s="4"/>
      <x:c r="E3" s="2"/>
    </x:row>
    <x:row r="4" ht="25" customHeight="1">
      <x:c r="A4" s="5" t="str">
        <x:v>截图路径相对于本工作簿同目录下的“截图”文件夹。</x:v>
      </x:c>
      <x:c r="B4" s="2"/>
      <x:c r="C4" s="2"/>
      <x:c r="D4" s="2"/>
      <x:c r="E4" s="2"/>
    </x:row>
    <x:row r="5" ht="30" customHeight="1">
      <x:c r="A5" s="21" t="str">
        <x:v>数据库</x:v>
      </x:c>
      <x:c r="B5" s="22" t="str">
        <x:v>查询 ID</x:v>
      </x:c>
      <x:c r="C5" s="22" t="str">
        <x:v>查询类型</x:v>
      </x:c>
      <x:c r="D5" s="22" t="str">
        <x:v>命中数</x:v>
      </x:c>
      <x:c r="E5" s="23" t="str">
        <x:v>对应截图</x:v>
      </x:c>
    </x:row>
    <x:row r="6" ht="38" customHeight="1">
      <x:c r="A6" s="10" t="str">
        <x:v>ACM DL</x:v>
      </x:c>
      <x:c r="B6" s="10" t="str">
        <x:v>ACM-STRICT-TITLE-TITLE</x:v>
      </x:c>
      <x:c r="C6" s="10" t="str">
        <x:v>核心</x:v>
      </x:c>
      <x:c r="D6" s="14" t="n">
        <x:v>2</x:v>
      </x:c>
      <x:c r="E6" s="10" t="str">
        <x:v>ACM/acm_strict_title_title_p01_2026-08-27.png</x:v>
      </x:c>
    </x:row>
    <x:row r="7" ht="38" customHeight="1">
      <x:c r="A7" s="10" t="str">
        <x:v>ACM DL</x:v>
      </x:c>
      <x:c r="B7" s="10" t="str">
        <x:v>ACM-STRICT-TITLE-ABSTRACT</x:v>
      </x:c>
      <x:c r="C7" s="10" t="str">
        <x:v>核心</x:v>
      </x:c>
      <x:c r="D7" s="14" t="n">
        <x:v>6</x:v>
      </x:c>
      <x:c r="E7" s="10" t="str">
        <x:v>ACM/acm_strict_title_abstract_p01_2026-08-27.png</x:v>
      </x:c>
    </x:row>
    <x:row r="8" ht="38" customHeight="1">
      <x:c r="A8" s="10" t="str">
        <x:v>ACM DL</x:v>
      </x:c>
      <x:c r="B8" s="10" t="str">
        <x:v>ACM-STRICT-TITLE-AUTHOR-KEYWORD</x:v>
      </x:c>
      <x:c r="C8" s="10" t="str">
        <x:v>核心</x:v>
      </x:c>
      <x:c r="D8" s="14" t="n">
        <x:v>4</x:v>
      </x:c>
      <x:c r="E8" s="10" t="str">
        <x:v>ACM/acm_strict_title_author_keyword_p01_2026-08-27.png</x:v>
      </x:c>
    </x:row>
    <x:row r="9" ht="38" customHeight="1">
      <x:c r="A9" s="10" t="str">
        <x:v>ACM DL</x:v>
      </x:c>
      <x:c r="B9" s="10" t="str">
        <x:v>ACM-STRICT-ABSTRACT-TITLE</x:v>
      </x:c>
      <x:c r="C9" s="10" t="str">
        <x:v>核心</x:v>
      </x:c>
      <x:c r="D9" s="14" t="n">
        <x:v>5</x:v>
      </x:c>
      <x:c r="E9" s="10" t="str">
        <x:v>ACM/acm_strict_abstract_title_p01_2026-08-27.png</x:v>
      </x:c>
    </x:row>
    <x:row r="10" ht="38" customHeight="1">
      <x:c r="A10" s="10" t="str">
        <x:v>ACM DL</x:v>
      </x:c>
      <x:c r="B10" s="10" t="str">
        <x:v>ACM-STRICT-ABSTRACT-ABSTRACT</x:v>
      </x:c>
      <x:c r="C10" s="10" t="str">
        <x:v>核心</x:v>
      </x:c>
      <x:c r="D10" s="14" t="n">
        <x:v>12</x:v>
      </x:c>
      <x:c r="E10" s="10" t="str">
        <x:v>ACM/acm_strict_abstract_abstract_p01_2026-08-27.png</x:v>
      </x:c>
    </x:row>
    <x:row r="11" ht="38" customHeight="1">
      <x:c r="A11" s="10" t="str">
        <x:v>ACM DL</x:v>
      </x:c>
      <x:c r="B11" s="10" t="str">
        <x:v>ACM-STRICT-ABSTRACT-AUTHOR-KEYWORD</x:v>
      </x:c>
      <x:c r="C11" s="10" t="str">
        <x:v>核心</x:v>
      </x:c>
      <x:c r="D11" s="14" t="n">
        <x:v>6</x:v>
      </x:c>
      <x:c r="E11" s="10" t="str">
        <x:v>ACM/acm_strict_abstract_author_keyword_p01_2026-08-27.png</x:v>
      </x:c>
    </x:row>
    <x:row r="12" ht="38" customHeight="1">
      <x:c r="A12" s="10" t="str">
        <x:v>ACM DL</x:v>
      </x:c>
      <x:c r="B12" s="10" t="str">
        <x:v>ACM-STRICT-AUTHOR-KEYWORD-TITLE</x:v>
      </x:c>
      <x:c r="C12" s="10" t="str">
        <x:v>核心</x:v>
      </x:c>
      <x:c r="D12" s="14" t="n">
        <x:v>7</x:v>
      </x:c>
      <x:c r="E12" s="10" t="str">
        <x:v>ACM/acm_strict_author_keyword_title_p01_2026-08-27.png</x:v>
      </x:c>
    </x:row>
    <x:row r="13" ht="38" customHeight="1">
      <x:c r="A13" s="10" t="str">
        <x:v>ACM DL</x:v>
      </x:c>
      <x:c r="B13" s="10" t="str">
        <x:v>ACM-STRICT-AUTHOR-KEYWORD-ABSTRACT</x:v>
      </x:c>
      <x:c r="C13" s="10" t="str">
        <x:v>核心</x:v>
      </x:c>
      <x:c r="D13" s="14" t="n">
        <x:v>11</x:v>
      </x:c>
      <x:c r="E13" s="10" t="str">
        <x:v>ACM/acm_strict_author_keyword_abstract_p01_2026-08-27.png</x:v>
      </x:c>
    </x:row>
    <x:row r="14" ht="38" customHeight="1">
      <x:c r="A14" s="10" t="str">
        <x:v>ACM DL</x:v>
      </x:c>
      <x:c r="B14" s="10" t="str">
        <x:v>ACM-STRICT-AUTHOR-KEYWORD-AUTHOR-KEYWORD</x:v>
      </x:c>
      <x:c r="C14" s="10" t="str">
        <x:v>核心</x:v>
      </x:c>
      <x:c r="D14" s="14" t="n">
        <x:v>6</x:v>
      </x:c>
      <x:c r="E14" s="10" t="str">
        <x:v>ACM/acm_strict_author_keyword_author_keyword_p01_2026-08-27.png</x:v>
      </x:c>
    </x:row>
    <x:row r="15" ht="38" customHeight="1">
      <x:c r="A15" s="10" t="str">
        <x:v>ACM DL</x:v>
      </x:c>
      <x:c r="B15" s="10" t="str">
        <x:v>ACM-SENSITIVITY-TITLE-TITLE</x:v>
      </x:c>
      <x:c r="C15" s="10" t="str">
        <x:v>敏感性</x:v>
      </x:c>
      <x:c r="D15" s="14" t="n">
        <x:v>8</x:v>
      </x:c>
      <x:c r="E15" s="10" t="str">
        <x:v>ACM/acm_sensitivity_title_title_p01_2026-08-27.png</x:v>
      </x:c>
    </x:row>
    <x:row r="16" ht="38" customHeight="1">
      <x:c r="A16" s="10" t="str">
        <x:v>ACM DL</x:v>
      </x:c>
      <x:c r="B16" s="10" t="str">
        <x:v>ACM-SENSITIVITY-TITLE-ABSTRACT</x:v>
      </x:c>
      <x:c r="C16" s="10" t="str">
        <x:v>敏感性</x:v>
      </x:c>
      <x:c r="D16" s="14" t="n">
        <x:v>10</x:v>
      </x:c>
      <x:c r="E16" s="10" t="str">
        <x:v>ACM/acm_sensitivity_title_abstract_p01_2026-08-27.png</x:v>
      </x:c>
    </x:row>
    <x:row r="17" ht="38" customHeight="1">
      <x:c r="A17" s="10" t="str">
        <x:v>ACM DL</x:v>
      </x:c>
      <x:c r="B17" s="10" t="str">
        <x:v>ACM-SENSITIVITY-TITLE-AUTHOR-KEYWORD</x:v>
      </x:c>
      <x:c r="C17" s="10" t="str">
        <x:v>敏感性</x:v>
      </x:c>
      <x:c r="D17" s="14" t="n">
        <x:v>7</x:v>
      </x:c>
      <x:c r="E17" s="10" t="str">
        <x:v>ACM/acm_sensitivity_title_author_keyword_p01_2026-08-27.png</x:v>
      </x:c>
    </x:row>
    <x:row r="18" ht="38" customHeight="1">
      <x:c r="A18" s="10" t="str">
        <x:v>ACM DL</x:v>
      </x:c>
      <x:c r="B18" s="10" t="str">
        <x:v>ACM-SENSITIVITY-ABSTRACT-TITLE</x:v>
      </x:c>
      <x:c r="C18" s="10" t="str">
        <x:v>敏感性</x:v>
      </x:c>
      <x:c r="D18" s="14" t="n">
        <x:v>11</x:v>
      </x:c>
      <x:c r="E18" s="10" t="str">
        <x:v>ACM/acm_sensitivity_abstract_title_p01_2026-08-27.png</x:v>
      </x:c>
    </x:row>
    <x:row r="19" ht="38" customHeight="1">
      <x:c r="A19" s="10" t="str">
        <x:v>ACM DL</x:v>
      </x:c>
      <x:c r="B19" s="10" t="str">
        <x:v>ACM-SENSITIVITY-ABSTRACT-ABSTRACT</x:v>
      </x:c>
      <x:c r="C19" s="10" t="str">
        <x:v>敏感性</x:v>
      </x:c>
      <x:c r="D19" s="14" t="n">
        <x:v>16</x:v>
      </x:c>
      <x:c r="E19" s="10" t="str">
        <x:v>ACM/acm_sensitivity_abstract_abstract_p01_2026-08-27.png</x:v>
      </x:c>
    </x:row>
    <x:row r="20" ht="38" customHeight="1">
      <x:c r="A20" s="10" t="str">
        <x:v>ACM DL</x:v>
      </x:c>
      <x:c r="B20" s="10" t="str">
        <x:v>ACM-SENSITIVITY-ABSTRACT-AUTHOR-KEYWORD</x:v>
      </x:c>
      <x:c r="C20" s="10" t="str">
        <x:v>敏感性</x:v>
      </x:c>
      <x:c r="D20" s="14" t="n">
        <x:v>12</x:v>
      </x:c>
      <x:c r="E20" s="10" t="str">
        <x:v>ACM/acm_sensitivity_abstract_author_keyword_p01_2026-08-27.png</x:v>
      </x:c>
    </x:row>
    <x:row r="21" ht="38" customHeight="1">
      <x:c r="A21" s="10" t="str">
        <x:v>ACM DL</x:v>
      </x:c>
      <x:c r="B21" s="10" t="str">
        <x:v>ACM-SENSITIVITY-AUTHOR-KEYWORD-TITLE</x:v>
      </x:c>
      <x:c r="C21" s="10" t="str">
        <x:v>敏感性</x:v>
      </x:c>
      <x:c r="D21" s="14" t="n">
        <x:v>11</x:v>
      </x:c>
      <x:c r="E21" s="10" t="str">
        <x:v>ACM/acm_sensitivity_author_keyword_title_p01_2026-08-27.png</x:v>
      </x:c>
    </x:row>
    <x:row r="22" ht="38" customHeight="1">
      <x:c r="A22" s="10" t="str">
        <x:v>ACM DL</x:v>
      </x:c>
      <x:c r="B22" s="10" t="str">
        <x:v>ACM-SENSITIVITY-AUTHOR-KEYWORD-ABSTRACT</x:v>
      </x:c>
      <x:c r="C22" s="10" t="str">
        <x:v>敏感性</x:v>
      </x:c>
      <x:c r="D22" s="14" t="n">
        <x:v>15</x:v>
      </x:c>
      <x:c r="E22" s="10" t="str">
        <x:v>ACM/acm_sensitivity_author_keyword_abstract_p01_2026-08-27.png</x:v>
      </x:c>
    </x:row>
    <x:row r="23" ht="38" customHeight="1">
      <x:c r="A23" s="10" t="str">
        <x:v>ACM DL</x:v>
      </x:c>
      <x:c r="B23" s="10" t="str">
        <x:v>ACM-SENSITIVITY-AUTHOR-KEYWORD-AUTHOR-KEYWORD</x:v>
      </x:c>
      <x:c r="C23" s="10" t="str">
        <x:v>敏感性</x:v>
      </x:c>
      <x:c r="D23" s="14" t="n">
        <x:v>11</x:v>
      </x:c>
      <x:c r="E23" s="10" t="str">
        <x:v>ACM/acm_sensitivity_author_keyword_author_keyword_p01_2026-08-27.png</x:v>
      </x:c>
    </x:row>
    <x:row r="24" ht="38" customHeight="1">
      <x:c r="A24" s="11" t="str">
        <x:v>IEEE Xplore</x:v>
      </x:c>
      <x:c r="B24" s="11" t="str">
        <x:v>IEEE-SENS-MTADDED-LLMSTRICT-TITLE-TITLE</x:v>
      </x:c>
      <x:c r="C24" s="11" t="str">
        <x:v>敏感性</x:v>
      </x:c>
      <x:c r="D24" s="15" t="n">
        <x:v>2</x:v>
      </x:c>
      <x:c r="E24" s="11" t="str">
        <x:v>IEEE/ieee_sens_mtadded-llmstrict_title_title_p01_2026-08-28.png</x:v>
      </x:c>
    </x:row>
    <x:row r="25" ht="38" customHeight="1">
      <x:c r="A25" s="11" t="str">
        <x:v>IEEE Xplore</x:v>
      </x:c>
      <x:c r="B25" s="11" t="str">
        <x:v>IEEE-SENS-MTSTRICT-LLMADDED-TITLE-TITLE</x:v>
      </x:c>
      <x:c r="C25" s="11" t="str">
        <x:v>敏感性</x:v>
      </x:c>
      <x:c r="D25" s="15" t="n">
        <x:v>8</x:v>
      </x:c>
      <x:c r="E25" s="11" t="str">
        <x:v>IEEE/ieee_sens_mtstrict-llmadded_title_title_p01_2026-08-28.png</x:v>
      </x:c>
    </x:row>
    <x:row r="26" ht="38" customHeight="1">
      <x:c r="A26" s="11" t="str">
        <x:v>IEEE Xplore</x:v>
      </x:c>
      <x:c r="B26" s="11" t="str">
        <x:v>IEEE-SENS-BOTHADDED-TITLE-TITLE</x:v>
      </x:c>
      <x:c r="C26" s="11" t="str">
        <x:v>敏感性</x:v>
      </x:c>
      <x:c r="D26" s="15" t="n">
        <x:v>3</x:v>
      </x:c>
      <x:c r="E26" s="11" t="str">
        <x:v>IEEE/ieee_sens_bothadded_title_title_p01_2026-08-28.png</x:v>
      </x:c>
    </x:row>
    <x:row r="27" ht="38" customHeight="1">
      <x:c r="A27" s="11" t="str">
        <x:v>IEEE Xplore</x:v>
      </x:c>
      <x:c r="B27" s="11" t="str">
        <x:v>IEEE-SENS-MTADDED-LLMSTRICT-TITLE-ABSTRACT</x:v>
      </x:c>
      <x:c r="C27" s="11" t="str">
        <x:v>敏感性</x:v>
      </x:c>
      <x:c r="D27" s="15" t="n">
        <x:v>4</x:v>
      </x:c>
      <x:c r="E27" s="11" t="str">
        <x:v>IEEE/ieee_sens_mtadded-llmstrict_title_abstract_p01_2026-08-28.png</x:v>
      </x:c>
    </x:row>
    <x:row r="28" ht="38" customHeight="1">
      <x:c r="A28" s="11" t="str">
        <x:v>IEEE Xplore</x:v>
      </x:c>
      <x:c r="B28" s="11" t="str">
        <x:v>IEEE-SENS-MTSTRICT-LLMADDED-TITLE-ABSTRACT</x:v>
      </x:c>
      <x:c r="C28" s="11" t="str">
        <x:v>敏感性</x:v>
      </x:c>
      <x:c r="D28" s="15" t="n">
        <x:v>14</x:v>
      </x:c>
      <x:c r="E28" s="11" t="str">
        <x:v>IEEE/ieee_sens_mtstrict-llmadded_title_abstract_p01_2026-08-28.png</x:v>
      </x:c>
    </x:row>
    <x:row r="29" ht="38" customHeight="1">
      <x:c r="A29" s="11" t="str">
        <x:v>IEEE Xplore</x:v>
      </x:c>
      <x:c r="B29" s="11" t="str">
        <x:v>IEEE-SENS-BOTHADDED-TITLE-ABSTRACT</x:v>
      </x:c>
      <x:c r="C29" s="11" t="str">
        <x:v>敏感性</x:v>
      </x:c>
      <x:c r="D29" s="15" t="n">
        <x:v>5</x:v>
      </x:c>
      <x:c r="E29" s="11" t="str">
        <x:v>IEEE/ieee_sens_bothadded_title_abstract_p01_2026-08-28.png</x:v>
      </x:c>
    </x:row>
    <x:row r="30" ht="38" customHeight="1">
      <x:c r="A30" s="11" t="str">
        <x:v>IEEE Xplore</x:v>
      </x:c>
      <x:c r="B30" s="11" t="str">
        <x:v>IEEE-SENS-MTADDED-LLMSTRICT-TITLE-AUTHOR_KEYWORDS</x:v>
      </x:c>
      <x:c r="C30" s="11" t="str">
        <x:v>敏感性</x:v>
      </x:c>
      <x:c r="D30" s="15" t="n">
        <x:v>2</x:v>
      </x:c>
      <x:c r="E30" s="11" t="str">
        <x:v>IEEE/ieee_sens_mtadded-llmstrict_title_author-keywords_p01_2026-08-28.png</x:v>
      </x:c>
    </x:row>
    <x:row r="31" ht="38" customHeight="1">
      <x:c r="A31" s="11" t="str">
        <x:v>IEEE Xplore</x:v>
      </x:c>
      <x:c r="B31" s="11" t="str">
        <x:v>IEEE-SENS-MTSTRICT-LLMADDED-TITLE-AUTHOR_KEYWORDS</x:v>
      </x:c>
      <x:c r="C31" s="11" t="str">
        <x:v>敏感性</x:v>
      </x:c>
      <x:c r="D31" s="15" t="n">
        <x:v>13</x:v>
      </x:c>
      <x:c r="E31" s="11" t="str">
        <x:v>IEEE/ieee_sens_mtstrict-llmadded_title_author-keywords_p01_2026-08-28.png</x:v>
      </x:c>
    </x:row>
    <x:row r="32" ht="38" customHeight="1">
      <x:c r="A32" s="11" t="str">
        <x:v>IEEE Xplore</x:v>
      </x:c>
      <x:c r="B32" s="11" t="str">
        <x:v>IEEE-SENS-BOTHADDED-TITLE-AUTHOR_KEYWORDS</x:v>
      </x:c>
      <x:c r="C32" s="11" t="str">
        <x:v>敏感性</x:v>
      </x:c>
      <x:c r="D32" s="15" t="n">
        <x:v>2</x:v>
      </x:c>
      <x:c r="E32" s="11" t="str">
        <x:v>IEEE/ieee_sens_bothadded_title_author-keywords_p01_2026-08-28.png</x:v>
      </x:c>
    </x:row>
    <x:row r="33" ht="38" customHeight="1">
      <x:c r="A33" s="11" t="str">
        <x:v>IEEE Xplore</x:v>
      </x:c>
      <x:c r="B33" s="11" t="str">
        <x:v>IEEE-SENS-MTADDED-LLMSTRICT-ABSTRACT-TITLE</x:v>
      </x:c>
      <x:c r="C33" s="11" t="str">
        <x:v>敏感性</x:v>
      </x:c>
      <x:c r="D33" s="15" t="n">
        <x:v>13</x:v>
      </x:c>
      <x:c r="E33" s="11" t="str">
        <x:v>IEEE/ieee_sens_mtadded-llmstrict_abstract_title_p01_2026-08-28.png</x:v>
      </x:c>
    </x:row>
    <x:row r="34" ht="38" customHeight="1">
      <x:c r="A34" s="11" t="str">
        <x:v>IEEE Xplore</x:v>
      </x:c>
      <x:c r="B34" s="11" t="str">
        <x:v>IEEE-SENS-MTSTRICT-LLMADDED-ABSTRACT-TITLE</x:v>
      </x:c>
      <x:c r="C34" s="11" t="str">
        <x:v>敏感性</x:v>
      </x:c>
      <x:c r="D34" s="15" t="n">
        <x:v>16</x:v>
      </x:c>
      <x:c r="E34" s="11" t="str">
        <x:v>IEEE/ieee_sens_mtstrict-llmadded_abstract_title_p01_2026-08-28.png</x:v>
      </x:c>
    </x:row>
    <x:row r="35" ht="38" customHeight="1">
      <x:c r="A35" s="11" t="str">
        <x:v>IEEE Xplore</x:v>
      </x:c>
      <x:c r="B35" s="11" t="str">
        <x:v>IEEE-SENS-BOTHADDED-ABSTRACT-TITLE</x:v>
      </x:c>
      <x:c r="C35" s="11" t="str">
        <x:v>敏感性</x:v>
      </x:c>
      <x:c r="D35" s="15" t="n">
        <x:v>12</x:v>
      </x:c>
      <x:c r="E35" s="11" t="str">
        <x:v>IEEE/ieee_sens_bothadded_abstract_title_p01_2026-08-28.png</x:v>
      </x:c>
    </x:row>
    <x:row r="36" ht="38" customHeight="1">
      <x:c r="A36" s="11" t="str">
        <x:v>IEEE Xplore</x:v>
      </x:c>
      <x:c r="B36" s="11" t="str">
        <x:v>IEEE-SENS-MTADDED-LLMSTRICT-ABSTRACT-ABSTRACT</x:v>
      </x:c>
      <x:c r="C36" s="11" t="str">
        <x:v>敏感性</x:v>
      </x:c>
      <x:c r="D36" s="15" t="n">
        <x:v>24</x:v>
      </x:c>
      <x:c r="E36" s="11" t="str">
        <x:v>IEEE/ieee_sens_mtadded-llmstrict_abstract_abstract_p01_2026-08-28.png</x:v>
      </x:c>
    </x:row>
    <x:row r="37" ht="38" customHeight="1">
      <x:c r="A37" s="11" t="str">
        <x:v>IEEE Xplore</x:v>
      </x:c>
      <x:c r="B37" s="11" t="str">
        <x:v>IEEE-SENS-MTSTRICT-LLMADDED-ABSTRACT-ABSTRACT</x:v>
      </x:c>
      <x:c r="C37" s="11" t="str">
        <x:v>敏感性</x:v>
      </x:c>
      <x:c r="D37" s="15" t="n">
        <x:v>28</x:v>
      </x:c>
      <x:c r="E37" s="11" t="str">
        <x:v>IEEE/ieee_sens_mtstrict-llmadded_abstract_abstract_p01_2026-08-28.png</x:v>
      </x:c>
    </x:row>
    <x:row r="38" ht="38" customHeight="1">
      <x:c r="A38" s="11" t="str">
        <x:v>IEEE Xplore</x:v>
      </x:c>
      <x:c r="B38" s="11" t="str">
        <x:v>IEEE-SENS-BOTHADDED-ABSTRACT-ABSTRACT</x:v>
      </x:c>
      <x:c r="C38" s="11" t="str">
        <x:v>敏感性</x:v>
      </x:c>
      <x:c r="D38" s="15" t="n">
        <x:v>21</x:v>
      </x:c>
      <x:c r="E38" s="11" t="str">
        <x:v>IEEE/ieee_sens_bothadded_abstract_abstract_p01_2026-08-28.png</x:v>
      </x:c>
    </x:row>
    <x:row r="39" ht="38" customHeight="1">
      <x:c r="A39" s="11" t="str">
        <x:v>IEEE Xplore</x:v>
      </x:c>
      <x:c r="B39" s="11" t="str">
        <x:v>IEEE-SENS-MTADDED-LLMSTRICT-ABSTRACT-AUTHOR_KEYWORDS</x:v>
      </x:c>
      <x:c r="C39" s="11" t="str">
        <x:v>敏感性</x:v>
      </x:c>
      <x:c r="D39" s="15" t="n">
        <x:v>5</x:v>
      </x:c>
      <x:c r="E39" s="11" t="str">
        <x:v>IEEE/ieee_sens_mtadded-llmstrict_abstract_author-keywords_p01_2026-08-28.png</x:v>
      </x:c>
    </x:row>
    <x:row r="40" ht="38" customHeight="1">
      <x:c r="A40" s="11" t="str">
        <x:v>IEEE Xplore</x:v>
      </x:c>
      <x:c r="B40" s="11" t="str">
        <x:v>IEEE-SENS-MTSTRICT-LLMADDED-ABSTRACT-AUTHOR_KEYWORDS</x:v>
      </x:c>
      <x:c r="C40" s="11" t="str">
        <x:v>敏感性</x:v>
      </x:c>
      <x:c r="D40" s="15" t="n">
        <x:v>18</x:v>
      </x:c>
      <x:c r="E40" s="11" t="str">
        <x:v>IEEE/ieee_sens_mtstrict-llmadded_abstract_author-keywords_p01_2026-08-28.png</x:v>
      </x:c>
    </x:row>
    <x:row r="41" ht="38" customHeight="1">
      <x:c r="A41" s="11" t="str">
        <x:v>IEEE Xplore</x:v>
      </x:c>
      <x:c r="B41" s="11" t="str">
        <x:v>IEEE-SENS-BOTHADDED-ABSTRACT-AUTHOR_KEYWORDS</x:v>
      </x:c>
      <x:c r="C41" s="11" t="str">
        <x:v>敏感性</x:v>
      </x:c>
      <x:c r="D41" s="15" t="n">
        <x:v>13</x:v>
      </x:c>
      <x:c r="E41" s="11" t="str">
        <x:v>IEEE/ieee_sens_bothadded_abstract_author-keywords_p01_2026-08-28.png</x:v>
      </x:c>
    </x:row>
    <x:row r="42" ht="38" customHeight="1">
      <x:c r="A42" s="11" t="str">
        <x:v>IEEE Xplore</x:v>
      </x:c>
      <x:c r="B42" s="11" t="str">
        <x:v>IEEE-SENS-MTADDED-LLMSTRICT-AUTHOR_KEYWORDS-TITLE</x:v>
      </x:c>
      <x:c r="C42" s="11" t="str">
        <x:v>敏感性</x:v>
      </x:c>
      <x:c r="D42" s="15" t="n">
        <x:v>2</x:v>
      </x:c>
      <x:c r="E42" s="11" t="str">
        <x:v>IEEE/ieee_sens_mtadded-llmstrict_author-keywords_title_p01_2026-08-28.png</x:v>
      </x:c>
    </x:row>
    <x:row r="43" ht="38" customHeight="1">
      <x:c r="A43" s="11" t="str">
        <x:v>IEEE Xplore</x:v>
      </x:c>
      <x:c r="B43" s="11" t="str">
        <x:v>IEEE-SENS-MTSTRICT-LLMADDED-AUTHOR_KEYWORDS-TITLE</x:v>
      </x:c>
      <x:c r="C43" s="11" t="str">
        <x:v>敏感性</x:v>
      </x:c>
      <x:c r="D43" s="15" t="n">
        <x:v>17</x:v>
      </x:c>
      <x:c r="E43" s="11" t="str">
        <x:v>IEEE/ieee_sens_mtstrict-llmadded_author-keywords_title_p01_2026-08-28.png</x:v>
      </x:c>
    </x:row>
    <x:row r="44" ht="38" customHeight="1">
      <x:c r="A44" s="11" t="str">
        <x:v>IEEE Xplore</x:v>
      </x:c>
      <x:c r="B44" s="11" t="str">
        <x:v>IEEE-SENS-BOTHADDED-AUTHOR_KEYWORDS-TITLE</x:v>
      </x:c>
      <x:c r="C44" s="11" t="str">
        <x:v>敏感性</x:v>
      </x:c>
      <x:c r="D44" s="15" t="n">
        <x:v>1</x:v>
      </x:c>
      <x:c r="E44" s="11" t="str">
        <x:v>IEEE/ieee_sens_bothadded_author-keywords_title_p01_2026-08-28.png</x:v>
      </x:c>
    </x:row>
    <x:row r="45" ht="38" customHeight="1">
      <x:c r="A45" s="11" t="str">
        <x:v>IEEE Xplore</x:v>
      </x:c>
      <x:c r="B45" s="11" t="str">
        <x:v>IEEE-SENS-MTADDED-LLMSTRICT-AUTHOR_KEYWORDS-ABSTRACT</x:v>
      </x:c>
      <x:c r="C45" s="11" t="str">
        <x:v>敏感性</x:v>
      </x:c>
      <x:c r="D45" s="15" t="n">
        <x:v>3</x:v>
      </x:c>
      <x:c r="E45" s="11" t="str">
        <x:v>IEEE/ieee_sens_mtadded-llmstrict_author-keywords_abstract_p01_2026-08-28.png</x:v>
      </x:c>
    </x:row>
    <x:row r="46" ht="38" customHeight="1">
      <x:c r="A46" s="11" t="str">
        <x:v>IEEE Xplore</x:v>
      </x:c>
      <x:c r="B46" s="11" t="str">
        <x:v>IEEE-SENS-MTSTRICT-LLMADDED-AUTHOR_KEYWORDS-ABSTRACT</x:v>
      </x:c>
      <x:c r="C46" s="11" t="str">
        <x:v>敏感性</x:v>
      </x:c>
      <x:c r="D46" s="15" t="n">
        <x:v>24</x:v>
      </x:c>
      <x:c r="E46" s="11" t="str">
        <x:v>IEEE/ieee_sens_mtstrict-llmadded_author-keywords_abstract_p01_2026-08-28.png</x:v>
      </x:c>
    </x:row>
    <x:row r="47" ht="38" customHeight="1">
      <x:c r="A47" s="11" t="str">
        <x:v>IEEE Xplore</x:v>
      </x:c>
      <x:c r="B47" s="11" t="str">
        <x:v>IEEE-SENS-BOTHADDED-AUTHOR_KEYWORDS-ABSTRACT</x:v>
      </x:c>
      <x:c r="C47" s="11" t="str">
        <x:v>敏感性</x:v>
      </x:c>
      <x:c r="D47" s="15" t="n">
        <x:v>3</x:v>
      </x:c>
      <x:c r="E47" s="11" t="str">
        <x:v>IEEE/ieee_sens_bothadded_author-keywords_abstract_p01_2026-08-28.png</x:v>
      </x:c>
    </x:row>
    <x:row r="48" ht="38" customHeight="1">
      <x:c r="A48" s="11" t="str">
        <x:v>IEEE Xplore</x:v>
      </x:c>
      <x:c r="B48" s="11" t="str">
        <x:v>IEEE-SENS-MTADDED-LLMSTRICT-AUTHOR_KEYWORDS-AUTHOR_KEYWORDS</x:v>
      </x:c>
      <x:c r="C48" s="11" t="str">
        <x:v>敏感性</x:v>
      </x:c>
      <x:c r="D48" s="15" t="n">
        <x:v>1</x:v>
      </x:c>
      <x:c r="E48" s="11" t="str">
        <x:v>IEEE/ieee_sens_mtadded-llmstrict_author-keywords_author-keywords_p01_2026-08-28.png</x:v>
      </x:c>
    </x:row>
    <x:row r="49" ht="38" customHeight="1">
      <x:c r="A49" s="11" t="str">
        <x:v>IEEE Xplore</x:v>
      </x:c>
      <x:c r="B49" s="11" t="str">
        <x:v>IEEE-SENS-MTSTRICT-LLMADDED-AUTHOR_KEYWORDS-AUTHOR_KEYWORDS</x:v>
      </x:c>
      <x:c r="C49" s="11" t="str">
        <x:v>敏感性</x:v>
      </x:c>
      <x:c r="D49" s="15" t="n">
        <x:v>19</x:v>
      </x:c>
      <x:c r="E49" s="11" t="str">
        <x:v>IEEE/ieee_sens_mtstrict-llmadded_author-keywords_author-keywords_p01_2026-08-28.png</x:v>
      </x:c>
    </x:row>
    <x:row r="50" ht="38" customHeight="1">
      <x:c r="A50" s="11" t="str">
        <x:v>IEEE Xplore</x:v>
      </x:c>
      <x:c r="B50" s="11" t="str">
        <x:v>IEEE-SENS-BOTHADDED-AUTHOR_KEYWORDS-AUTHOR_KEYWORDS</x:v>
      </x:c>
      <x:c r="C50" s="11" t="str">
        <x:v>敏感性</x:v>
      </x:c>
      <x:c r="D50" s="15" t="n">
        <x:v>2</x:v>
      </x:c>
      <x:c r="E50" s="11" t="str">
        <x:v>IEEE/ieee_sens_bothadded_author-keywords_author-keywords_p01_2026-08-28.png</x:v>
      </x:c>
    </x:row>
    <x:row r="51" ht="38" customHeight="1">
      <x:c r="A51" s="11" t="str">
        <x:v>IEEE Xplore</x:v>
      </x:c>
      <x:c r="B51" s="11" t="str">
        <x:v>IEEE-STRICT-TITLE-TITLE</x:v>
      </x:c>
      <x:c r="C51" s="11" t="str">
        <x:v>核心</x:v>
      </x:c>
      <x:c r="D51" s="15" t="n">
        <x:v>10</x:v>
      </x:c>
      <x:c r="E51" s="11" t="str">
        <x:v>IEEE/ieee_strict_title_title_p01_2026-08-28.png</x:v>
      </x:c>
    </x:row>
    <x:row r="52" ht="38" customHeight="1">
      <x:c r="A52" s="11" t="str">
        <x:v>IEEE Xplore</x:v>
      </x:c>
      <x:c r="B52" s="11" t="str">
        <x:v>IEEE-STRICT-TITLE-ABSTRACT</x:v>
      </x:c>
      <x:c r="C52" s="11" t="str">
        <x:v>核心</x:v>
      </x:c>
      <x:c r="D52" s="15" t="n">
        <x:v>20</x:v>
      </x:c>
      <x:c r="E52" s="11" t="str">
        <x:v>IEEE/ieee_strict_title_abstract_p01_2026-08-28.png</x:v>
      </x:c>
    </x:row>
    <x:row r="53" ht="38" customHeight="1">
      <x:c r="A53" s="11" t="str">
        <x:v>IEEE Xplore</x:v>
      </x:c>
      <x:c r="B53" s="11" t="str">
        <x:v>IEEE-STRICT-TITLE-AUTHOR_KEYWORDS</x:v>
      </x:c>
      <x:c r="C53" s="11" t="str">
        <x:v>核心</x:v>
      </x:c>
      <x:c r="D53" s="15" t="n">
        <x:v>4</x:v>
      </x:c>
      <x:c r="E53" s="11" t="str">
        <x:v>IEEE/ieee_strict_title_author-keywords_p01_2026-08-28.png</x:v>
      </x:c>
    </x:row>
    <x:row r="54" ht="38" customHeight="1">
      <x:c r="A54" s="11" t="str">
        <x:v>IEEE Xplore</x:v>
      </x:c>
      <x:c r="B54" s="11" t="str">
        <x:v>IEEE-STRICT-ABSTRACT-TITLE</x:v>
      </x:c>
      <x:c r="C54" s="11" t="str">
        <x:v>核心</x:v>
      </x:c>
      <x:c r="D54" s="15" t="n">
        <x:v>14</x:v>
      </x:c>
      <x:c r="E54" s="11" t="str">
        <x:v>IEEE/ieee_strict_abstract_title_p01_2026-08-28.png</x:v>
      </x:c>
    </x:row>
    <x:row r="55" ht="38" customHeight="1">
      <x:c r="A55" s="11" t="str">
        <x:v>IEEE Xplore</x:v>
      </x:c>
      <x:c r="B55" s="11" t="str">
        <x:v>IEEE-STRICT-ABSTRACT-ABSTRACT</x:v>
      </x:c>
      <x:c r="C55" s="11" t="str">
        <x:v>核心</x:v>
      </x:c>
      <x:c r="D55" s="15" t="n">
        <x:v>29</x:v>
      </x:c>
      <x:c r="E55" s="11" t="str">
        <x:v>IEEE/ieee_strict_abstract_abstract_p01_2026-08-28.png</x:v>
      </x:c>
    </x:row>
    <x:row r="56" ht="38" customHeight="1">
      <x:c r="A56" s="11" t="str">
        <x:v>IEEE Xplore</x:v>
      </x:c>
      <x:c r="B56" s="11" t="str">
        <x:v>IEEE-STRICT-ABSTRACT-AUTHOR_KEYWORDS</x:v>
      </x:c>
      <x:c r="C56" s="11" t="str">
        <x:v>核心</x:v>
      </x:c>
      <x:c r="D56" s="15" t="n">
        <x:v>7</x:v>
      </x:c>
      <x:c r="E56" s="11" t="str">
        <x:v>IEEE/ieee_strict_abstract_author-keywords_p01_2026-08-28.png</x:v>
      </x:c>
    </x:row>
    <x:row r="57" ht="38" customHeight="1">
      <x:c r="A57" s="11" t="str">
        <x:v>IEEE Xplore</x:v>
      </x:c>
      <x:c r="B57" s="11" t="str">
        <x:v>IEEE-STRICT-AUTHOR_KEYWORDS-TITLE</x:v>
      </x:c>
      <x:c r="C57" s="11" t="str">
        <x:v>核心</x:v>
      </x:c>
      <x:c r="D57" s="15" t="n">
        <x:v>12</x:v>
      </x:c>
      <x:c r="E57" s="11" t="str">
        <x:v>IEEE/ieee_strict_author-keywords_title_p01_2026-08-28.png</x:v>
      </x:c>
    </x:row>
    <x:row r="58" ht="38" customHeight="1">
      <x:c r="A58" s="11" t="str">
        <x:v>IEEE Xplore</x:v>
      </x:c>
      <x:c r="B58" s="11" t="str">
        <x:v>IEEE-STRICT-AUTHOR_KEYWORDS-ABSTRACT</x:v>
      </x:c>
      <x:c r="C58" s="11" t="str">
        <x:v>核心</x:v>
      </x:c>
      <x:c r="D58" s="15" t="n">
        <x:v>27</x:v>
      </x:c>
      <x:c r="E58" s="11" t="str">
        <x:v>IEEE/ieee_strict_author-keywords_abstract_p01_2026-08-28.png</x:v>
      </x:c>
    </x:row>
    <x:row r="59" ht="38" customHeight="1">
      <x:c r="A59" s="11" t="str">
        <x:v>IEEE Xplore</x:v>
      </x:c>
      <x:c r="B59" s="11" t="str">
        <x:v>IEEE-STRICT-AUTHOR_KEYWORDS-AUTHOR_KEYWORDS</x:v>
      </x:c>
      <x:c r="C59" s="11" t="str">
        <x:v>核心</x:v>
      </x:c>
      <x:c r="D59" s="15" t="n">
        <x:v>7</x:v>
      </x:c>
      <x:c r="E59" s="11" t="str">
        <x:v>IEEE/ieee_strict_author-keywords_author-keywords_p01_2026-08-28.png</x:v>
      </x:c>
    </x:row>
    <x:row r="60" ht="38" customHeight="1">
      <x:c r="A60" s="10" t="str">
        <x:v>ScienceDirect</x:v>
      </x:c>
      <x:c r="B60" s="10" t="str">
        <x:v>SD-STRICT-TT-01-01</x:v>
      </x:c>
      <x:c r="C60" s="10" t="str">
        <x:v>核心</x:v>
      </x:c>
      <x:c r="D60" s="14" t="n">
        <x:v>6</x:v>
      </x:c>
      <x:c r="E60" s="10" t="str">
        <x:v>ScienceDirect/sciencedirect_strict_tt_1_1_p01_2026-08-28.png</x:v>
      </x:c>
    </x:row>
    <x:row r="61" ht="38" customHeight="1">
      <x:c r="A61" s="10" t="str">
        <x:v>ScienceDirect</x:v>
      </x:c>
      <x:c r="B61" s="10" t="str">
        <x:v>SD-STRICT-TT-01-02</x:v>
      </x:c>
      <x:c r="C61" s="10" t="str">
        <x:v>核心</x:v>
      </x:c>
      <x:c r="D61" s="14" t="n">
        <x:v>1</x:v>
      </x:c>
      <x:c r="E61" s="10" t="str">
        <x:v>ScienceDirect/sciencedirect_strict_tt_1_2_p01_2026-08-28.png</x:v>
      </x:c>
    </x:row>
    <x:row r="62" ht="38" customHeight="1">
      <x:c r="A62" s="10" t="str">
        <x:v>ScienceDirect</x:v>
      </x:c>
      <x:c r="B62" s="10" t="str">
        <x:v>SD-STRICT-TT-01-03</x:v>
      </x:c>
      <x:c r="C62" s="10" t="str">
        <x:v>核心</x:v>
      </x:c>
      <x:c r="D62" s="14" t="n">
        <x:v>0</x:v>
      </x:c>
      <x:c r="E62" s="10" t="str">
        <x:v>ScienceDirect/sciencedirect_strict_tt_1_3_p01_2026-08-28.png</x:v>
      </x:c>
    </x:row>
    <x:row r="63" ht="38" customHeight="1">
      <x:c r="A63" s="10" t="str">
        <x:v>ScienceDirect</x:v>
      </x:c>
      <x:c r="B63" s="10" t="str">
        <x:v>SD-STRICT-TT-01-04</x:v>
      </x:c>
      <x:c r="C63" s="10" t="str">
        <x:v>核心</x:v>
      </x:c>
      <x:c r="D63" s="14" t="n">
        <x:v>0</x:v>
      </x:c>
      <x:c r="E63" s="10" t="str">
        <x:v>ScienceDirect/sciencedirect_strict_tt_1_4_p01_2026-08-28.png</x:v>
      </x:c>
    </x:row>
    <x:row r="64" ht="38" customHeight="1">
      <x:c r="A64" s="10" t="str">
        <x:v>ScienceDirect</x:v>
      </x:c>
      <x:c r="B64" s="10" t="str">
        <x:v>SD-STRICT-TT-02-01</x:v>
      </x:c>
      <x:c r="C64" s="10" t="str">
        <x:v>核心</x:v>
      </x:c>
      <x:c r="D64" s="14" t="n">
        <x:v>0</x:v>
      </x:c>
      <x:c r="E64" s="10" t="str">
        <x:v>ScienceDirect/sciencedirect_strict_tt_2_1_p01_2026-08-28.png</x:v>
      </x:c>
    </x:row>
    <x:row r="65" ht="38" customHeight="1">
      <x:c r="A65" s="10" t="str">
        <x:v>ScienceDirect</x:v>
      </x:c>
      <x:c r="B65" s="10" t="str">
        <x:v>SD-STRICT-TT-02-02</x:v>
      </x:c>
      <x:c r="C65" s="10" t="str">
        <x:v>核心</x:v>
      </x:c>
      <x:c r="D65" s="14" t="n">
        <x:v>0</x:v>
      </x:c>
      <x:c r="E65" s="10" t="str">
        <x:v>ScienceDirect/sciencedirect_strict_tt_2_2_p01_2026-08-28.png</x:v>
      </x:c>
    </x:row>
    <x:row r="66" ht="38" customHeight="1">
      <x:c r="A66" s="10" t="str">
        <x:v>ScienceDirect</x:v>
      </x:c>
      <x:c r="B66" s="10" t="str">
        <x:v>SD-STRICT-TT-02-03</x:v>
      </x:c>
      <x:c r="C66" s="10" t="str">
        <x:v>核心</x:v>
      </x:c>
      <x:c r="D66" s="14" t="n">
        <x:v>0</x:v>
      </x:c>
      <x:c r="E66" s="10" t="str">
        <x:v>ScienceDirect/sciencedirect_strict_tt_2_3_p01_2026-08-28.png</x:v>
      </x:c>
    </x:row>
    <x:row r="67" ht="38" customHeight="1">
      <x:c r="A67" s="10" t="str">
        <x:v>ScienceDirect</x:v>
      </x:c>
      <x:c r="B67" s="10" t="str">
        <x:v>SD-STRICT-TT-02-04</x:v>
      </x:c>
      <x:c r="C67" s="10" t="str">
        <x:v>核心</x:v>
      </x:c>
      <x:c r="D67" s="14" t="n">
        <x:v>0</x:v>
      </x:c>
      <x:c r="E67" s="10" t="str">
        <x:v>ScienceDirect/sciencedirect_strict_tt_2_4_p01_2026-08-28.png</x:v>
      </x:c>
    </x:row>
    <x:row r="68" ht="38" customHeight="1">
      <x:c r="A68" s="10" t="str">
        <x:v>ScienceDirect</x:v>
      </x:c>
      <x:c r="B68" s="10" t="str">
        <x:v>SD-STRICT-TT-03-01</x:v>
      </x:c>
      <x:c r="C68" s="10" t="str">
        <x:v>核心</x:v>
      </x:c>
      <x:c r="D68" s="14" t="n">
        <x:v>0</x:v>
      </x:c>
      <x:c r="E68" s="10" t="str">
        <x:v>ScienceDirect/sciencedirect_strict_tt_3_1_p01_2026-08-28.png</x:v>
      </x:c>
    </x:row>
    <x:row r="69" ht="38" customHeight="1">
      <x:c r="A69" s="10" t="str">
        <x:v>ScienceDirect</x:v>
      </x:c>
      <x:c r="B69" s="10" t="str">
        <x:v>SD-STRICT-TT-03-02</x:v>
      </x:c>
      <x:c r="C69" s="10" t="str">
        <x:v>核心</x:v>
      </x:c>
      <x:c r="D69" s="14" t="n">
        <x:v>0</x:v>
      </x:c>
      <x:c r="E69" s="10" t="str">
        <x:v>ScienceDirect/sciencedirect_strict_tt_3_2_p01_2026-08-28.png</x:v>
      </x:c>
    </x:row>
    <x:row r="70" ht="38" customHeight="1">
      <x:c r="A70" s="10" t="str">
        <x:v>ScienceDirect</x:v>
      </x:c>
      <x:c r="B70" s="10" t="str">
        <x:v>SD-STRICT-TT-03-03</x:v>
      </x:c>
      <x:c r="C70" s="10" t="str">
        <x:v>核心</x:v>
      </x:c>
      <x:c r="D70" s="14" t="n">
        <x:v>0</x:v>
      </x:c>
      <x:c r="E70" s="10" t="str">
        <x:v>ScienceDirect/sciencedirect_strict_tt_3_3_p01_2026-08-28.png</x:v>
      </x:c>
    </x:row>
    <x:row r="71" ht="38" customHeight="1">
      <x:c r="A71" s="10" t="str">
        <x:v>ScienceDirect</x:v>
      </x:c>
      <x:c r="B71" s="10" t="str">
        <x:v>SD-STRICT-TT-03-04</x:v>
      </x:c>
      <x:c r="C71" s="10" t="str">
        <x:v>核心</x:v>
      </x:c>
      <x:c r="D71" s="14" t="n">
        <x:v>0</x:v>
      </x:c>
      <x:c r="E71" s="10" t="str">
        <x:v>ScienceDirect/sciencedirect_strict_tt_3_4_p01_2026-08-28.png</x:v>
      </x:c>
    </x:row>
    <x:row r="72" ht="38" customHeight="1">
      <x:c r="A72" s="10" t="str">
        <x:v>ScienceDirect</x:v>
      </x:c>
      <x:c r="B72" s="10" t="str">
        <x:v>SD-STRICT-TT-04-01</x:v>
      </x:c>
      <x:c r="C72" s="10" t="str">
        <x:v>核心</x:v>
      </x:c>
      <x:c r="D72" s="14" t="n">
        <x:v>0</x:v>
      </x:c>
      <x:c r="E72" s="10" t="str">
        <x:v>ScienceDirect/sciencedirect_strict_tt_4_1_p01_2026-08-28.png</x:v>
      </x:c>
    </x:row>
    <x:row r="73" ht="38" customHeight="1">
      <x:c r="A73" s="10" t="str">
        <x:v>ScienceDirect</x:v>
      </x:c>
      <x:c r="B73" s="10" t="str">
        <x:v>SD-STRICT-TT-04-02</x:v>
      </x:c>
      <x:c r="C73" s="10" t="str">
        <x:v>核心</x:v>
      </x:c>
      <x:c r="D73" s="14" t="n">
        <x:v>0</x:v>
      </x:c>
      <x:c r="E73" s="10" t="str">
        <x:v>ScienceDirect/sciencedirect_strict_tt_4_2_p01_2026-08-28.png</x:v>
      </x:c>
    </x:row>
    <x:row r="74" ht="38" customHeight="1">
      <x:c r="A74" s="10" t="str">
        <x:v>ScienceDirect</x:v>
      </x:c>
      <x:c r="B74" s="10" t="str">
        <x:v>SD-STRICT-TT-04-03</x:v>
      </x:c>
      <x:c r="C74" s="10" t="str">
        <x:v>核心</x:v>
      </x:c>
      <x:c r="D74" s="14" t="n">
        <x:v>0</x:v>
      </x:c>
      <x:c r="E74" s="10" t="str">
        <x:v>ScienceDirect/sciencedirect_strict_tt_4_3_p01_2026-08-28.png</x:v>
      </x:c>
    </x:row>
    <x:row r="75" ht="38" customHeight="1">
      <x:c r="A75" s="10" t="str">
        <x:v>ScienceDirect</x:v>
      </x:c>
      <x:c r="B75" s="10" t="str">
        <x:v>SD-STRICT-TT-04-04</x:v>
      </x:c>
      <x:c r="C75" s="10" t="str">
        <x:v>核心</x:v>
      </x:c>
      <x:c r="D75" s="14" t="n">
        <x:v>0</x:v>
      </x:c>
      <x:c r="E75" s="10" t="str">
        <x:v>ScienceDirect/sciencedirect_strict_tt_4_4_p01_2026-08-28.png</x:v>
      </x:c>
    </x:row>
    <x:row r="76" ht="38" customHeight="1">
      <x:c r="A76" s="10" t="str">
        <x:v>ScienceDirect</x:v>
      </x:c>
      <x:c r="B76" s="10" t="str">
        <x:v>SD-STRICT-T-TAK-01-01</x:v>
      </x:c>
      <x:c r="C76" s="10" t="str">
        <x:v>核心</x:v>
      </x:c>
      <x:c r="D76" s="14" t="n">
        <x:v>7</x:v>
      </x:c>
      <x:c r="E76" s="10" t="str">
        <x:v>ScienceDirect/sciencedirect_strict_t_tak_1_1_p01_2026-08-28.png</x:v>
      </x:c>
    </x:row>
    <x:row r="77" ht="38" customHeight="1">
      <x:c r="A77" s="10" t="str">
        <x:v>ScienceDirect</x:v>
      </x:c>
      <x:c r="B77" s="10" t="str">
        <x:v>SD-STRICT-T-TAK-01-02</x:v>
      </x:c>
      <x:c r="C77" s="10" t="str">
        <x:v>核心</x:v>
      </x:c>
      <x:c r="D77" s="14" t="n">
        <x:v>0</x:v>
      </x:c>
      <x:c r="E77" s="10" t="str">
        <x:v>ScienceDirect/sciencedirect_strict_t_tak_1_2_p01_2026-08-28.png</x:v>
      </x:c>
    </x:row>
    <x:row r="78" ht="38" customHeight="1">
      <x:c r="A78" s="10" t="str">
        <x:v>ScienceDirect</x:v>
      </x:c>
      <x:c r="B78" s="10" t="str">
        <x:v>SD-STRICT-T-TAK-02-01</x:v>
      </x:c>
      <x:c r="C78" s="10" t="str">
        <x:v>核心</x:v>
      </x:c>
      <x:c r="D78" s="14" t="n">
        <x:v>0</x:v>
      </x:c>
      <x:c r="E78" s="10" t="str">
        <x:v>ScienceDirect/sciencedirect_strict_t_tak_2_1_p01_2026-08-28.png</x:v>
      </x:c>
    </x:row>
    <x:row r="79" ht="38" customHeight="1">
      <x:c r="A79" s="10" t="str">
        <x:v>ScienceDirect</x:v>
      </x:c>
      <x:c r="B79" s="10" t="str">
        <x:v>SD-STRICT-T-TAK-02-02</x:v>
      </x:c>
      <x:c r="C79" s="10" t="str">
        <x:v>核心</x:v>
      </x:c>
      <x:c r="D79" s="14" t="n">
        <x:v>0</x:v>
      </x:c>
      <x:c r="E79" s="10" t="str">
        <x:v>ScienceDirect/sciencedirect_strict_t_tak_2_2_p01_2026-08-28.png</x:v>
      </x:c>
    </x:row>
    <x:row r="80" ht="38" customHeight="1">
      <x:c r="A80" s="10" t="str">
        <x:v>ScienceDirect</x:v>
      </x:c>
      <x:c r="B80" s="10" t="str">
        <x:v>SD-STRICT-TAK-T-01-01</x:v>
      </x:c>
      <x:c r="C80" s="10" t="str">
        <x:v>核心</x:v>
      </x:c>
      <x:c r="D80" s="14" t="n">
        <x:v>7</x:v>
      </x:c>
      <x:c r="E80" s="10" t="str">
        <x:v>ScienceDirect/sciencedirect_strict_tak_t_1_1_p01_2026-08-28.png</x:v>
      </x:c>
    </x:row>
    <x:row r="81" ht="38" customHeight="1">
      <x:c r="A81" s="10" t="str">
        <x:v>ScienceDirect</x:v>
      </x:c>
      <x:c r="B81" s="10" t="str">
        <x:v>SD-STRICT-TAK-T-01-02</x:v>
      </x:c>
      <x:c r="C81" s="10" t="str">
        <x:v>核心</x:v>
      </x:c>
      <x:c r="D81" s="14" t="n">
        <x:v>0</x:v>
      </x:c>
      <x:c r="E81" s="10" t="str">
        <x:v>ScienceDirect/sciencedirect_strict_tak_t_1_2_p01_2026-08-28.png</x:v>
      </x:c>
    </x:row>
    <x:row r="82" ht="38" customHeight="1">
      <x:c r="A82" s="10" t="str">
        <x:v>ScienceDirect</x:v>
      </x:c>
      <x:c r="B82" s="10" t="str">
        <x:v>SD-STRICT-TAK-TAK-01-01</x:v>
      </x:c>
      <x:c r="C82" s="10" t="str">
        <x:v>核心</x:v>
      </x:c>
      <x:c r="D82" s="14" t="n">
        <x:v>10</x:v>
      </x:c>
      <x:c r="E82" s="10" t="str">
        <x:v>ScienceDirect/sciencedirect_strict_tak_tak_1_1_p01_2026-08-28.png</x:v>
      </x:c>
    </x:row>
    <x:row r="83" ht="38" customHeight="1">
      <x:c r="A83" s="10" t="str">
        <x:v>ScienceDirect</x:v>
      </x:c>
      <x:c r="B83" s="10" t="str">
        <x:v>SD-STRICT-TAK-TAK-01-02</x:v>
      </x:c>
      <x:c r="C83" s="10" t="str">
        <x:v>核心</x:v>
      </x:c>
      <x:c r="D83" s="14" t="n">
        <x:v>2</x:v>
      </x:c>
      <x:c r="E83" s="10" t="str">
        <x:v>ScienceDirect/sciencedirect_strict_tak_tak_1_2_p01_2026-08-28.png</x:v>
      </x:c>
    </x:row>
    <x:row r="84" ht="38" customHeight="1">
      <x:c r="A84" s="10" t="str">
        <x:v>ScienceDirect</x:v>
      </x:c>
      <x:c r="B84" s="10" t="str">
        <x:v>SD-STRICT-TAK-TAK-01-03</x:v>
      </x:c>
      <x:c r="C84" s="10" t="str">
        <x:v>核心</x:v>
      </x:c>
      <x:c r="D84" s="14" t="n">
        <x:v>0</x:v>
      </x:c>
      <x:c r="E84" s="10" t="str">
        <x:v>ScienceDirect/sciencedirect_strict_tak_tak_1_3_p01_2026-08-28.png</x:v>
      </x:c>
    </x:row>
    <x:row r="85" ht="38" customHeight="1">
      <x:c r="A85" s="10" t="str">
        <x:v>ScienceDirect</x:v>
      </x:c>
      <x:c r="B85" s="10" t="str">
        <x:v>SD-STRICT-TAK-TAK-01-04</x:v>
      </x:c>
      <x:c r="C85" s="10" t="str">
        <x:v>核心</x:v>
      </x:c>
      <x:c r="D85" s="14" t="n">
        <x:v>0</x:v>
      </x:c>
      <x:c r="E85" s="10" t="str">
        <x:v>ScienceDirect/sciencedirect_strict_tak_tak_1_4_p01_2026-08-28.png</x:v>
      </x:c>
    </x:row>
    <x:row r="86" ht="38" customHeight="1">
      <x:c r="A86" s="10" t="str">
        <x:v>ScienceDirect</x:v>
      </x:c>
      <x:c r="B86" s="10" t="str">
        <x:v>SD-STRICT-TAK-TAK-02-01</x:v>
      </x:c>
      <x:c r="C86" s="10" t="str">
        <x:v>核心</x:v>
      </x:c>
      <x:c r="D86" s="14" t="n">
        <x:v>0</x:v>
      </x:c>
      <x:c r="E86" s="10" t="str">
        <x:v>ScienceDirect/sciencedirect_strict_tak_tak_2_1_p01_2026-08-28.png</x:v>
      </x:c>
    </x:row>
    <x:row r="87" ht="38" customHeight="1">
      <x:c r="A87" s="10" t="str">
        <x:v>ScienceDirect</x:v>
      </x:c>
      <x:c r="B87" s="10" t="str">
        <x:v>SD-STRICT-TAK-TAK-02-02</x:v>
      </x:c>
      <x:c r="C87" s="10" t="str">
        <x:v>核心</x:v>
      </x:c>
      <x:c r="D87" s="14" t="n">
        <x:v>0</x:v>
      </x:c>
      <x:c r="E87" s="10" t="str">
        <x:v>ScienceDirect/sciencedirect_strict_tak_tak_2_2_p01_2026-08-28.png</x:v>
      </x:c>
    </x:row>
    <x:row r="88" ht="38" customHeight="1">
      <x:c r="A88" s="10" t="str">
        <x:v>ScienceDirect</x:v>
      </x:c>
      <x:c r="B88" s="10" t="str">
        <x:v>SD-STRICT-TAK-TAK-02-03</x:v>
      </x:c>
      <x:c r="C88" s="10" t="str">
        <x:v>核心</x:v>
      </x:c>
      <x:c r="D88" s="14" t="n">
        <x:v>0</x:v>
      </x:c>
      <x:c r="E88" s="10" t="str">
        <x:v>ScienceDirect/sciencedirect_strict_tak_tak_2_3_p01_2026-08-28.png</x:v>
      </x:c>
    </x:row>
    <x:row r="89" ht="38" customHeight="1">
      <x:c r="A89" s="10" t="str">
        <x:v>ScienceDirect</x:v>
      </x:c>
      <x:c r="B89" s="10" t="str">
        <x:v>SD-STRICT-TAK-TAK-02-04</x:v>
      </x:c>
      <x:c r="C89" s="10" t="str">
        <x:v>核心</x:v>
      </x:c>
      <x:c r="D89" s="14" t="n">
        <x:v>0</x:v>
      </x:c>
      <x:c r="E89" s="10" t="str">
        <x:v>ScienceDirect/sciencedirect_strict_tak_tak_2_4_p01_2026-08-28.png</x:v>
      </x:c>
    </x:row>
    <x:row r="90" ht="38" customHeight="1">
      <x:c r="A90" s="10" t="str">
        <x:v>ScienceDirect</x:v>
      </x:c>
      <x:c r="B90" s="10" t="str">
        <x:v>SD-SENSITIVITY-01</x:v>
      </x:c>
      <x:c r="C90" s="10" t="str">
        <x:v>敏感性</x:v>
      </x:c>
      <x:c r="D90" s="14" t="n">
        <x:v>0</x:v>
      </x:c>
      <x:c r="E90" s="10" t="str">
        <x:v>ScienceDirect/sciencedirect_sensitivity_1_p01_2026-08-28.png</x:v>
      </x:c>
    </x:row>
    <x:row r="91" ht="38" customHeight="1">
      <x:c r="A91" s="10" t="str">
        <x:v>ScienceDirect</x:v>
      </x:c>
      <x:c r="B91" s="10" t="str">
        <x:v>SD-SENSITIVITY-02</x:v>
      </x:c>
      <x:c r="C91" s="10" t="str">
        <x:v>敏感性</x:v>
      </x:c>
      <x:c r="D91" s="14" t="n">
        <x:v>0</x:v>
      </x:c>
      <x:c r="E91" s="10" t="str">
        <x:v>ScienceDirect/sciencedirect_sensitivity_2_p01_2026-08-28.png</x:v>
      </x:c>
    </x:row>
    <x:row r="92" ht="82" customHeight="1">
      <x:c r="A92" s="11" t="str">
        <x:v>SpringerLink</x:v>
      </x:c>
      <x:c r="B92" s="11" t="str">
        <x:v>SPRINGER-CORE</x:v>
      </x:c>
      <x:c r="C92" s="11" t="str">
        <x:v>核心</x:v>
      </x:c>
      <x:c r="D92" s="15" t="n">
        <x:v>54</x:v>
      </x:c>
      <x:c r="E92" s="11" t="str">
        <x:v>共 3 张
SpringerLink/springerlink_core_p01_2026-08-28.png
SpringerLink/springerlink_core_p02_2026-08-28.png
SpringerLink/springerlink_core_p03_2026-08-28.png</x:v>
      </x:c>
    </x:row>
    <x:row r="93" ht="38" customHeight="1">
      <x:c r="A93" s="11" t="str">
        <x:v>SpringerLink</x:v>
      </x:c>
      <x:c r="B93" s="11" t="str">
        <x:v>SPRINGER-SENSITIVITY</x:v>
      </x:c>
      <x:c r="C93" s="11" t="str">
        <x:v>敏感性</x:v>
      </x:c>
      <x:c r="D93" s="15" t="n">
        <x:v>0</x:v>
      </x:c>
      <x:c r="E93" s="11" t="str">
        <x:v>SpringerLink/springerlink_sensitivity_p01_2026-08-28.png</x:v>
      </x:c>
    </x:row>
    <x:row r="94" ht="38" customHeight="1">
      <x:c r="A94" s="10" t="str">
        <x:v>arXiv</x:v>
      </x:c>
      <x:c r="B94" s="10" t="str">
        <x:v>AX-CORE-WEB-01</x:v>
      </x:c>
      <x:c r="C94" s="10" t="str">
        <x:v>核心</x:v>
      </x:c>
      <x:c r="D94" s="14" t="n">
        <x:v>72</x:v>
      </x:c>
      <x:c r="E94" s="10" t="str">
        <x:v>arXiv/arxiv_core_advanced_search_72_results_2026-08-28.png</x:v>
      </x:c>
    </x:row>
    <x:row r="95" ht="38" customHeight="1">
      <x:c r="A95" s="10" t="str">
        <x:v>arXiv</x:v>
      </x:c>
      <x:c r="B95" s="10" t="str">
        <x:v>AX-SENS-WEB-01</x:v>
      </x:c>
      <x:c r="C95" s="10" t="str">
        <x:v>敏感性</x:v>
      </x:c>
      <x:c r="D95" s="14" t="n">
        <x:v>22</x:v>
      </x:c>
      <x:c r="E95" s="10" t="str">
        <x:v>arXiv/arxiv_sensitivity_metamorphic_prompting_22_results_2026-08-28.png</x:v>
      </x:c>
    </x:row>
    <x:row r="96" ht="208" customHeight="1">
      <x:c r="A96" s="11" t="str">
        <x:v>Google Scholar</x:v>
      </x:c>
      <x:c r="B96" s="11" t="str">
        <x:v>GS-CORE</x:v>
      </x:c>
      <x:c r="C96" s="11" t="str">
        <x:v>核心</x:v>
      </x:c>
      <x:c r="D96" s="15" t="n">
        <x:v>200</x:v>
      </x:c>
      <x:c r="E96" s="11" t="str">
        <x:v>共 10 张
GoogleScholar/google_scholar_core_rank_001_020_2026-08-28.png
GoogleScholar/google_scholar_core_rank_021_040_2026-08-28.png
GoogleScholar/google_scholar_core_rank_041_060_2026-08-28.png
GoogleScholar/google_scholar_core_rank_061_080_2026-08-28.png
GoogleScholar/google_scholar_core_rank_081_100_2026-08-28.png
GoogleScholar/google_scholar_core_rank_101_120_2026-08-28.png
GoogleScholar/google_scholar_core_rank_121_140_2026-08-28.png
GoogleScholar/google_scholar_core_rank_141_160_2026-08-28.png
GoogleScholar/google_scholar_core_rank_161_180_2026-08-28.png
GoogleScholar/google_scholar_core_rank_181_200_2026-08-28.png</x:v>
      </x:c>
    </x:row>
  </x:sheetData>
  <x:pageMargins left="0.7" right="0.7" top="0.75" bottom="0.75" header="0.3" footer="0.3"/>
  <x:tableParts count="1">
    <x:tablePart xmlns:r="http://schemas.openxmlformats.org/officeDocument/2006/relationships" r:id="Rd95ba708f6d647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40" hidden="0" customWidth="1"/>
    <x:col min="3" max="3" width="29" hidden="0" customWidth="1"/>
    <x:col min="4" max="4" width="100" hidden="0" customWidth="1"/>
  </x:cols>
  <x:sheetData>
    <x:row r="1" ht="12" customHeight="1">
      <x:c r="A1" s="2"/>
      <x:c r="B1" s="2"/>
      <x:c r="C1" s="2"/>
      <x:c r="D1" s="2"/>
    </x:row>
    <x:row r="2" ht="30" customHeight="1">
      <x:c r="A2" s="3" t="str">
        <x:v>检索词与范围</x:v>
      </x:c>
      <x:c r="B2" s="2"/>
      <x:c r="C2" s="2"/>
      <x:c r="D2" s="2"/>
    </x:row>
    <x:row r="3" ht="12" customHeight="1">
      <x:c r="A3" s="4"/>
      <x:c r="B3" s="4"/>
      <x:c r="C3" s="4"/>
      <x:c r="D3" s="4"/>
    </x:row>
    <x:row r="4" ht="24" customHeight="1">
      <x:c r="A4" s="5" t="str">
        <x:v>主题：蜕变测试（MT）与大语言模型（LLM）。TAK 指标题、摘要和关键词。</x:v>
      </x:c>
      <x:c r="B4" s="5"/>
      <x:c r="C4" s="5"/>
      <x:c r="D4" s="5"/>
    </x:row>
    <x:row r="5" ht="24" customHeight="1">
      <x:c r="A5" s="5" t="str">
        <x:v>目标日期范围：2023-01-01 至 2026-08-25。执行日期：2026-08-27 至 2026-08-28。</x:v>
      </x:c>
      <x:c r="B5" s="5"/>
      <x:c r="C5" s="5"/>
      <x:c r="D5" s="5"/>
    </x:row>
    <x:row r="6" ht="24" customHeight="1">
      <x:c r="A6" s="5" t="str">
        <x:v>原始日期筛选：ACM 按月覆盖至 2026-08-31；IEEE、ScienceDirect、SpringerLink 和 Google Scholar 按 2023—2026 年。</x:v>
      </x:c>
      <x:c r="B6" s="5"/>
      <x:c r="C6" s="5"/>
      <x:c r="D6" s="5"/>
    </x:row>
    <x:row r="7" ht="24" customHeight="1">
      <x:c r="A7" s="5" t="str">
        <x:v>arXiv 按首次提交日期限定 2023-01-01 至 2026-08-25，使用官网高级检索；下表为检索条件的表达式。</x:v>
      </x:c>
      <x:c r="B7" s="5"/>
      <x:c r="C7" s="5"/>
      <x:c r="D7" s="5"/>
    </x:row>
    <x:row r="8" ht="24" customHeight="1">
      <x:c r="A8" s="5" t="str">
        <x:v>各库筛选精度不同，目标日期范围由后续逐篇核验确认。字段范围按原始查询记录保留。</x:v>
      </x:c>
      <x:c r="B8" s="5"/>
      <x:c r="C8" s="5"/>
      <x:c r="D8" s="5"/>
    </x:row>
    <x:row r="9" ht="24" customHeight="1">
      <x:c r="A9" s="5" t="inlineStr">
        <x:is>
          <x:t xml:space="preserve">Google Scholar 按相关性排序取前 200 条；页面估计命中数不计入合计。</x:t>
        </x:is>
      </x:c>
      <x:c r="B9" s="5"/>
      <x:c r="C9" s="5"/>
      <x:c r="D9" s="5"/>
    </x:row>
    <x:row r="10" ht="24" customHeight="1">
      <x:c r="A10" s="5" t="str">
        <x:v>核心包含“严格”查询；本阶段不含检索完成后的滚雪球补充。</x:v>
      </x:c>
      <x:c r="B10" s="5"/>
      <x:c r="C10" s="5"/>
      <x:c r="D10" s="5"/>
    </x:row>
    <x:row r="11" ht="24" customHeight="1">
      <x:c r="A11" s="5" t="str">
        <x:v>根据 Springer 官方说明，Keywords 检索标题、摘要及正文，不包括补充文件。</x:v>
      </x:c>
      <x:c r="B11" s="5"/>
      <x:c r="C11" s="5"/>
      <x:c r="D11" s="5"/>
    </x:row>
    <x:row r="12" ht="30" customHeight="1">
      <x:c r="A12" s="21" t="str">
        <x:v>数据库</x:v>
      </x:c>
      <x:c r="B12" s="22" t="str">
        <x:v>查询 ID</x:v>
      </x:c>
      <x:c r="C12" s="22" t="str">
        <x:v>检索字段</x:v>
      </x:c>
      <x:c r="D12" s="23" t="str">
        <x:v>精确检索式</x:v>
      </x:c>
    </x:row>
    <x:row r="13" ht="98" customHeight="1">
      <x:c r="A13" s="10" t="str">
        <x:v>ACM DL</x:v>
      </x:c>
      <x:c r="B13" s="10" t="str">
        <x:v>ACM-STRICT-TITLE-TITLE</x:v>
      </x:c>
      <x:c r="C13" s="10" t="str">
        <x:v>MT:Title; LLM:Title</x:v>
      </x:c>
      <x:c r="D13" s="10" t="str">
        <x:v>Title: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14" ht="98" customHeight="1">
      <x:c r="A14" s="10" t="str">
        <x:v>ACM DL</x:v>
      </x:c>
      <x:c r="B14" s="10" t="str">
        <x:v>ACM-STRICT-TITLE-ABSTRACT</x:v>
      </x:c>
      <x:c r="C14" s="10" t="str">
        <x:v>MT:Title; LLM:Abstract</x:v>
      </x:c>
      <x:c r="D14" s="10" t="str">
        <x:v>Title: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15" ht="98" customHeight="1">
      <x:c r="A15" s="10" t="str">
        <x:v>ACM DL</x:v>
      </x:c>
      <x:c r="B15" s="10" t="str">
        <x:v>ACM-STRICT-TITLE-AUTHOR-KEYWORD</x:v>
      </x:c>
      <x:c r="C15" s="10" t="str">
        <x:v>MT:Title; LLM:Author Keyword</x:v>
      </x:c>
      <x:c r="D15" s="10" t="str">
        <x:v>Title: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16" ht="98" customHeight="1">
      <x:c r="A16" s="10" t="str">
        <x:v>ACM DL</x:v>
      </x:c>
      <x:c r="B16" s="10" t="str">
        <x:v>ACM-STRICT-ABSTRACT-TITLE</x:v>
      </x:c>
      <x:c r="C16" s="10" t="str">
        <x:v>MT:Abstract; LLM:Title</x:v>
      </x:c>
      <x:c r="D16" s="10" t="str">
        <x:v>Abstract: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17" ht="98" customHeight="1">
      <x:c r="A17" s="10" t="str">
        <x:v>ACM DL</x:v>
      </x:c>
      <x:c r="B17" s="10" t="str">
        <x:v>ACM-STRICT-ABSTRACT-ABSTRACT</x:v>
      </x:c>
      <x:c r="C17" s="10" t="str">
        <x:v>MT:Abstract; LLM:Abstract</x:v>
      </x:c>
      <x:c r="D17" s="10" t="str">
        <x:v>Abstract: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18" ht="98" customHeight="1">
      <x:c r="A18" s="10" t="str">
        <x:v>ACM DL</x:v>
      </x:c>
      <x:c r="B18" s="10" t="str">
        <x:v>ACM-STRICT-ABSTRACT-AUTHOR-KEYWORD</x:v>
      </x:c>
      <x:c r="C18" s="10" t="str">
        <x:v>MT:Abstract; LLM:Author Keyword</x:v>
      </x:c>
      <x:c r="D18" s="10" t="str">
        <x:v>Abstract: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19" ht="98" customHeight="1">
      <x:c r="A19" s="10" t="str">
        <x:v>ACM DL</x:v>
      </x:c>
      <x:c r="B19" s="10" t="str">
        <x:v>ACM-STRICT-AUTHOR-KEYWORD-TITLE</x:v>
      </x:c>
      <x:c r="C19" s="10" t="str">
        <x:v>MT:Author Keyword; LLM:Title</x:v>
      </x:c>
      <x:c r="D19" s="10" t="str">
        <x:v>Author Keyword: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20" ht="98" customHeight="1">
      <x:c r="A20" s="10" t="str">
        <x:v>ACM DL</x:v>
      </x:c>
      <x:c r="B20" s="10" t="str">
        <x:v>ACM-STRICT-AUTHOR-KEYWORD-ABSTRACT</x:v>
      </x:c>
      <x:c r="C20" s="10" t="str">
        <x:v>MT:Author Keyword; LLM:Abstract</x:v>
      </x:c>
      <x:c r="D20" s="10" t="str">
        <x:v>Author Keyword: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21" ht="98" customHeight="1">
      <x:c r="A21" s="10" t="str">
        <x:v>ACM DL</x:v>
      </x:c>
      <x:c r="B21" s="10" t="str">
        <x:v>ACM-STRICT-AUTHOR-KEYWORD-AUTHOR-KEYWORD</x:v>
      </x:c>
      <x:c r="C21" s="10" t="str">
        <x:v>MT:Author Keyword; LLM:Author Keyword</x:v>
      </x:c>
      <x:c r="D21" s="10" t="str">
        <x:v>Author Keyword: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22" ht="146" customHeight="1">
      <x:c r="A22" s="10" t="str">
        <x:v>ACM DL</x:v>
      </x:c>
      <x:c r="B22" s="10" t="str">
        <x:v>ACM-SENSITIVITY-TITLE-TITLE</x:v>
      </x:c>
      <x:c r="C22" s="10" t="str">
        <x:v>MT:Title; LLM:Title</x:v>
      </x:c>
      <x:c r="D22"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3" ht="146" customHeight="1">
      <x:c r="A23" s="10" t="str">
        <x:v>ACM DL</x:v>
      </x:c>
      <x:c r="B23" s="10" t="str">
        <x:v>ACM-SENSITIVITY-TITLE-ABSTRACT</x:v>
      </x:c>
      <x:c r="C23" s="10" t="str">
        <x:v>MT:Title; LLM:Abstract</x:v>
      </x:c>
      <x:c r="D23"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4" ht="146" customHeight="1">
      <x:c r="A24" s="10" t="str">
        <x:v>ACM DL</x:v>
      </x:c>
      <x:c r="B24" s="10" t="str">
        <x:v>ACM-SENSITIVITY-TITLE-AUTHOR-KEYWORD</x:v>
      </x:c>
      <x:c r="C24" s="10" t="str">
        <x:v>MT:Title; LLM:Author Keyword</x:v>
      </x:c>
      <x:c r="D24"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5" ht="146" customHeight="1">
      <x:c r="A25" s="10" t="str">
        <x:v>ACM DL</x:v>
      </x:c>
      <x:c r="B25" s="10" t="str">
        <x:v>ACM-SENSITIVITY-ABSTRACT-TITLE</x:v>
      </x:c>
      <x:c r="C25" s="10" t="str">
        <x:v>MT:Abstract; LLM:Title</x:v>
      </x:c>
      <x:c r="D25"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6" ht="146" customHeight="1">
      <x:c r="A26" s="10" t="str">
        <x:v>ACM DL</x:v>
      </x:c>
      <x:c r="B26" s="10" t="str">
        <x:v>ACM-SENSITIVITY-ABSTRACT-ABSTRACT</x:v>
      </x:c>
      <x:c r="C26" s="10" t="str">
        <x:v>MT:Abstract; LLM:Abstract</x:v>
      </x:c>
      <x:c r="D26"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7" ht="146" customHeight="1">
      <x:c r="A27" s="10" t="str">
        <x:v>ACM DL</x:v>
      </x:c>
      <x:c r="B27" s="10" t="str">
        <x:v>ACM-SENSITIVITY-ABSTRACT-AUTHOR-KEYWORD</x:v>
      </x:c>
      <x:c r="C27" s="10" t="str">
        <x:v>MT:Abstract; LLM:Author Keyword</x:v>
      </x:c>
      <x:c r="D27"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8" ht="146" customHeight="1">
      <x:c r="A28" s="10" t="str">
        <x:v>ACM DL</x:v>
      </x:c>
      <x:c r="B28" s="10" t="str">
        <x:v>ACM-SENSITIVITY-AUTHOR-KEYWORD-TITLE</x:v>
      </x:c>
      <x:c r="C28" s="10" t="str">
        <x:v>MT:Author Keyword; LLM:Title</x:v>
      </x:c>
      <x:c r="D28"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9" ht="146" customHeight="1">
      <x:c r="A29" s="10" t="str">
        <x:v>ACM DL</x:v>
      </x:c>
      <x:c r="B29" s="10" t="str">
        <x:v>ACM-SENSITIVITY-AUTHOR-KEYWORD-ABSTRACT</x:v>
      </x:c>
      <x:c r="C29" s="10" t="str">
        <x:v>MT:Author Keyword; LLM:Abstract</x:v>
      </x:c>
      <x:c r="D29"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30" ht="146" customHeight="1">
      <x:c r="A30" s="10" t="str">
        <x:v>ACM DL</x:v>
      </x:c>
      <x:c r="B30" s="10" t="str">
        <x:v>ACM-SENSITIVITY-AUTHOR-KEYWORD-AUTHOR-KEYWORD</x:v>
      </x:c>
      <x:c r="C30" s="10" t="str">
        <x:v>MT:Author Keyword; LLM:Author Keyword</x:v>
      </x:c>
      <x:c r="D30"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31" ht="146" customHeight="1">
      <x:c r="A31" s="11" t="str">
        <x:v>IEEE Xplore</x:v>
      </x:c>
      <x:c r="B31" s="11" t="str">
        <x:v>IEEE-SENS-MTADDED-LLMSTRICT-TITLE-TITLE</x:v>
      </x:c>
      <x:c r="C31" s="11" t="str">
        <x:v>MT:title; LLM:title</x:v>
      </x:c>
      <x:c r="D31"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32" ht="114" customHeight="1">
      <x:c r="A32" s="11" t="str">
        <x:v>IEEE Xplore</x:v>
      </x:c>
      <x:c r="B32" s="11" t="str">
        <x:v>IEEE-SENS-MTSTRICT-LLMADDED-TITLE-TITLE</x:v>
      </x:c>
      <x:c r="C32" s="11" t="str">
        <x:v>MT:title; LLM:title</x:v>
      </x:c>
      <x:c r="D32"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("Document Title":"Large Language Models" OR "Document Title":"LLMs" OR "Document Title":"Code Models" OR "Document Title":"Deep Code Model" OR "Document Title":"Deep Code Models" OR "Document Title":"LLM Agents" OR "Document Title":"AI Agents")</x:v>
      </x:c>
    </x:row>
    <x:row r="33" ht="130" customHeight="1">
      <x:c r="A33" s="11" t="str">
        <x:v>IEEE Xplore</x:v>
      </x:c>
      <x:c r="B33" s="11" t="str">
        <x:v>IEEE-SENS-BOTHADDED-TITLE-TITLE</x:v>
      </x:c>
      <x:c r="C33" s="11" t="str">
        <x:v>MT:title; LLM:title</x:v>
      </x:c>
      <x:c r="D33"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("Document Title":"Large Language Models" OR "Document Title":"LLMs" OR "Document Title":"Code Models" OR "Document Title":"Deep Code Model" OR "Document Title":"Deep Code Models" OR "Document Title":"LLM Agents" OR "Document Title":"AI Agents")</x:v>
      </x:c>
    </x:row>
    <x:row r="34" ht="130" customHeight="1">
      <x:c r="A34" s="11" t="str">
        <x:v>IEEE Xplore</x:v>
      </x:c>
      <x:c r="B34" s="11" t="str">
        <x:v>IEEE-SENS-MTADDED-LLMSTRICT-TITLE-ABSTRACT</x:v>
      </x:c>
      <x:c r="C34" s="11" t="str">
        <x:v>MT:title; LLM:abstract</x:v>
      </x:c>
      <x:c r="D34"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35" ht="114" customHeight="1">
      <x:c r="A35" s="11" t="str">
        <x:v>IEEE Xplore</x:v>
      </x:c>
      <x:c r="B35" s="11" t="str">
        <x:v>IEEE-SENS-MTSTRICT-LLMADDED-TITLE-ABSTRACT</x:v>
      </x:c>
      <x:c r="C35" s="11" t="str">
        <x:v>MT:title; LLM:abstract</x:v>
      </x:c>
      <x:c r="D35"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("Abstract":"Large Language Models" OR "Abstract":"LLMs" OR "Abstract":"Code Models" OR "Abstract":"Deep Code Model" OR "Abstract":"Deep Code Models" OR "Abstract":"LLM Agents" OR "Abstract":"AI Agents")</x:v>
      </x:c>
    </x:row>
    <x:row r="36" ht="114" customHeight="1">
      <x:c r="A36" s="11" t="str">
        <x:v>IEEE Xplore</x:v>
      </x:c>
      <x:c r="B36" s="11" t="str">
        <x:v>IEEE-SENS-BOTHADDED-TITLE-ABSTRACT</x:v>
      </x:c>
      <x:c r="C36" s="11" t="str">
        <x:v>MT:title; LLM:abstract</x:v>
      </x:c>
      <x:c r="D36"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("Abstract":"Large Language Models" OR "Abstract":"LLMs" OR "Abstract":"Code Models" OR "Abstract":"Deep Code Model" OR "Abstract":"Deep Code Models" OR "Abstract":"LLM Agents" OR "Abstract":"AI Agents")</x:v>
      </x:c>
    </x:row>
    <x:row r="37" ht="146" customHeight="1">
      <x:c r="A37" s="11" t="str">
        <x:v>IEEE Xplore</x:v>
      </x:c>
      <x:c r="B37" s="11" t="str">
        <x:v>IEEE-SENS-MTADDED-LLMSTRICT-TITLE-AUTHOR_KEYWORDS</x:v>
      </x:c>
      <x:c r="C37" s="11" t="str">
        <x:v>MT:title; LLM:author_keywords</x:v>
      </x:c>
      <x:c r="D37"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38" ht="130" customHeight="1">
      <x:c r="A38" s="11" t="str">
        <x:v>IEEE Xplore</x:v>
      </x:c>
      <x:c r="B38" s="11" t="str">
        <x:v>IEEE-SENS-MTSTRICT-LLMADDED-TITLE-AUTHOR_KEYWORDS</x:v>
      </x:c>
      <x:c r="C38" s="11" t="str">
        <x:v>MT:title; LLM:author_keywords</x:v>
      </x:c>
      <x:c r="D38"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("Author Keywords":"Large Language Models" OR "Author Keywords":"LLMs" OR "Author Keywords":"Code Models" OR "Author Keywords":"Deep Code Model" OR "Author Keywords":"Deep Code Models" OR "Author Keywords":"LLM Agents" OR "Author Keywords":"AI Agents")</x:v>
      </x:c>
    </x:row>
    <x:row r="39" ht="130" customHeight="1">
      <x:c r="A39" s="11" t="str">
        <x:v>IEEE Xplore</x:v>
      </x:c>
      <x:c r="B39" s="11" t="str">
        <x:v>IEEE-SENS-BOTHADDED-TITLE-AUTHOR_KEYWORDS</x:v>
      </x:c>
      <x:c r="C39" s="11" t="str">
        <x:v>MT:title; LLM:author_keywords</x:v>
      </x:c>
      <x:c r="D39"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("Author Keywords":"Large Language Models" OR "Author Keywords":"LLMs" OR "Author Keywords":"Code Models" OR "Author Keywords":"Deep Code Model" OR "Author Keywords":"Deep Code Models" OR "Author Keywords":"LLM Agents" OR "Author Keywords":"AI Agents")</x:v>
      </x:c>
    </x:row>
    <x:row r="40" ht="146" customHeight="1">
      <x:c r="A40" s="11" t="str">
        <x:v>IEEE Xplore</x:v>
      </x:c>
      <x:c r="B40" s="11" t="str">
        <x:v>IEEE-SENS-MTADDED-LLMSTRICT-ABSTRACT-TITLE</x:v>
      </x:c>
      <x:c r="C40" s="11" t="str">
        <x:v>MT:abstract; LLM:title</x:v>
      </x:c>
      <x:c r="D40"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41" ht="114" customHeight="1">
      <x:c r="A41" s="11" t="str">
        <x:v>IEEE Xplore</x:v>
      </x:c>
      <x:c r="B41" s="11" t="str">
        <x:v>IEEE-SENS-MTSTRICT-LLMADDED-ABSTRACT-TITLE</x:v>
      </x:c>
      <x:c r="C41" s="11" t="str">
        <x:v>MT:abstract; LLM:title</x:v>
      </x:c>
      <x:c r="D41" s="11" t="str">
        <x:v>("Abstract":"Metamorphic Testing" OR "Abstract":"Metamorphic Relation" OR "Abstract":"Metamorphic Group" OR "Abstract":"Metamorphic Oracle" OR "Abstract":"Metamorphic Transformation" OR "Abstract":"Metamorphic Evaluation" OR "Abstract":"Metamorphic Specification" OR "Abstract":"Metamorphic Prompt") AND ("Document Title":"Large Language Models" OR "Document Title":"LLMs" OR "Document Title":"Code Models" OR "Document Title":"Deep Code Model" OR "Document Title":"Deep Code Models" OR "Document Title":"LLM Agents" OR "Document Title":"AI Agents")</x:v>
      </x:c>
    </x:row>
    <x:row r="42" ht="114" customHeight="1">
      <x:c r="A42" s="11" t="str">
        <x:v>IEEE Xplore</x:v>
      </x:c>
      <x:c r="B42" s="11" t="str">
        <x:v>IEEE-SENS-BOTHADDED-ABSTRACT-TITLE</x:v>
      </x:c>
      <x:c r="C42" s="11" t="str">
        <x:v>MT:abstract; LLM:title</x:v>
      </x:c>
      <x:c r="D42"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("Document Title":"Large Language Models" OR "Document Title":"LLMs" OR "Document Title":"Code Models" OR "Document Title":"Deep Code Model" OR "Document Title":"Deep Code Models" OR "Document Title":"LLM Agents" OR "Document Title":"AI Agents")</x:v>
      </x:c>
    </x:row>
    <x:row r="43" ht="130" customHeight="1">
      <x:c r="A43" s="11" t="str">
        <x:v>IEEE Xplore</x:v>
      </x:c>
      <x:c r="B43" s="11" t="str">
        <x:v>IEEE-SENS-MTADDED-LLMSTRICT-ABSTRACT-ABSTRACT</x:v>
      </x:c>
      <x:c r="C43" s="11" t="str">
        <x:v>MT:abstract; LLM:abstract</x:v>
      </x:c>
      <x:c r="D43"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44" ht="114" customHeight="1">
      <x:c r="A44" s="11" t="str">
        <x:v>IEEE Xplore</x:v>
      </x:c>
      <x:c r="B44" s="11" t="str">
        <x:v>IEEE-SENS-MTSTRICT-LLMADDED-ABSTRACT-ABSTRACT</x:v>
      </x:c>
      <x:c r="C44" s="11" t="str">
        <x:v>MT:abstract; LLM:abstract</x:v>
      </x:c>
      <x:c r="D44" s="11" t="str">
        <x:v>("Abstract":"Metamorphic Testing" OR "Abstract":"Metamorphic Relation" OR "Abstract":"Metamorphic Group" OR "Abstract":"Metamorphic Oracle" OR "Abstract":"Metamorphic Transformation" OR "Abstract":"Metamorphic Evaluation" OR "Abstract":"Metamorphic Specification" OR "Abstract":"Metamorphic Prompt") AND ("Abstract":"Large Language Models" OR "Abstract":"LLMs" OR "Abstract":"Code Models" OR "Abstract":"Deep Code Model" OR "Abstract":"Deep Code Models" OR "Abstract":"LLM Agents" OR "Abstract":"AI Agents")</x:v>
      </x:c>
    </x:row>
    <x:row r="45" ht="114" customHeight="1">
      <x:c r="A45" s="11" t="str">
        <x:v>IEEE Xplore</x:v>
      </x:c>
      <x:c r="B45" s="11" t="str">
        <x:v>IEEE-SENS-BOTHADDED-ABSTRACT-ABSTRACT</x:v>
      </x:c>
      <x:c r="C45" s="11" t="str">
        <x:v>MT:abstract; LLM:abstract</x:v>
      </x:c>
      <x:c r="D45"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("Abstract":"Large Language Models" OR "Abstract":"LLMs" OR "Abstract":"Code Models" OR "Abstract":"Deep Code Model" OR "Abstract":"Deep Code Models" OR "Abstract":"LLM Agents" OR "Abstract":"AI Agents")</x:v>
      </x:c>
    </x:row>
    <x:row r="46" ht="146" customHeight="1">
      <x:c r="A46" s="11" t="str">
        <x:v>IEEE Xplore</x:v>
      </x:c>
      <x:c r="B46" s="11" t="str">
        <x:v>IEEE-SENS-MTADDED-LLMSTRICT-ABSTRACT-AUTHOR_KEYWORDS</x:v>
      </x:c>
      <x:c r="C46" s="11" t="str">
        <x:v>MT:abstract; LLM:author_keywords</x:v>
      </x:c>
      <x:c r="D46"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47" ht="114" customHeight="1">
      <x:c r="A47" s="11" t="str">
        <x:v>IEEE Xplore</x:v>
      </x:c>
      <x:c r="B47" s="11" t="str">
        <x:v>IEEE-SENS-MTSTRICT-LLMADDED-ABSTRACT-AUTHOR_KEYWORDS</x:v>
      </x:c>
      <x:c r="C47" s="11" t="str">
        <x:v>MT:abstract; LLM:author_keywords</x:v>
      </x:c>
      <x:c r="D47" s="11" t="str">
        <x:v>("Abstract":"Metamorphic Testing" OR "Abstract":"Metamorphic Relation" OR "Abstract":"Metamorphic Group" OR "Abstract":"Metamorphic Oracle" OR "Abstract":"Metamorphic Transformation" OR "Abstract":"Metamorphic Evaluation" OR "Abstract":"Metamorphic Specification" OR "Abstract":"Metamorphic Prompt") AND ("Author Keywords":"Large Language Models" OR "Author Keywords":"LLMs" OR "Author Keywords":"Code Models" OR "Author Keywords":"Deep Code Model" OR "Author Keywords":"Deep Code Models" OR "Author Keywords":"LLM Agents" OR "Author Keywords":"AI Agents")</x:v>
      </x:c>
    </x:row>
    <x:row r="48" ht="114" customHeight="1">
      <x:c r="A48" s="11" t="str">
        <x:v>IEEE Xplore</x:v>
      </x:c>
      <x:c r="B48" s="11" t="str">
        <x:v>IEEE-SENS-BOTHADDED-ABSTRACT-AUTHOR_KEYWORDS</x:v>
      </x:c>
      <x:c r="C48" s="11" t="str">
        <x:v>MT:abstract; LLM:author_keywords</x:v>
      </x:c>
      <x:c r="D48"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("Author Keywords":"Large Language Models" OR "Author Keywords":"LLMs" OR "Author Keywords":"Code Models" OR "Author Keywords":"Deep Code Model" OR "Author Keywords":"Deep Code Models" OR "Author Keywords":"LLM Agents" OR "Author Keywords":"AI Agents")</x:v>
      </x:c>
    </x:row>
    <x:row r="49" ht="146" customHeight="1">
      <x:c r="A49" s="11" t="str">
        <x:v>IEEE Xplore</x:v>
      </x:c>
      <x:c r="B49" s="11" t="str">
        <x:v>IEEE-SENS-MTADDED-LLMSTRICT-AUTHOR_KEYWORDS-TITLE</x:v>
      </x:c>
      <x:c r="C49" s="11" t="str">
        <x:v>MT:author_keywords; LLM:title</x:v>
      </x:c>
      <x:c r="D49"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50" ht="130" customHeight="1">
      <x:c r="A50" s="11" t="str">
        <x:v>IEEE Xplore</x:v>
      </x:c>
      <x:c r="B50" s="11" t="str">
        <x:v>IEEE-SENS-MTSTRICT-LLMADDED-AUTHOR_KEYWORDS-TITLE</x:v>
      </x:c>
      <x:c r="C50" s="11" t="str">
        <x:v>MT:author_keywords; LLM:title</x:v>
      </x:c>
      <x:c r="D50"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("Document Title":"Large Language Models" OR "Document Title":"LLMs" OR "Document Title":"Code Models" OR "Document Title":"Deep Code Model" OR "Document Title":"Deep Code Models" OR "Document Title":"LLM Agents" OR "Document Title":"AI Agents")</x:v>
      </x:c>
    </x:row>
    <x:row r="51" ht="130" customHeight="1">
      <x:c r="A51" s="11" t="str">
        <x:v>IEEE Xplore</x:v>
      </x:c>
      <x:c r="B51" s="11" t="str">
        <x:v>IEEE-SENS-BOTHADDED-AUTHOR_KEYWORDS-TITLE</x:v>
      </x:c>
      <x:c r="C51" s="11" t="str">
        <x:v>MT:author_keywords; LLM:title</x:v>
      </x:c>
      <x:c r="D51"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("Document Title":"Large Language Models" OR "Document Title":"LLMs" OR "Document Title":"Code Models" OR "Document Title":"Deep Code Model" OR "Document Title":"Deep Code Models" OR "Document Title":"LLM Agents" OR "Document Title":"AI Agents")</x:v>
      </x:c>
    </x:row>
    <x:row r="52" ht="130" customHeight="1">
      <x:c r="A52" s="11" t="str">
        <x:v>IEEE Xplore</x:v>
      </x:c>
      <x:c r="B52" s="11" t="str">
        <x:v>IEEE-SENS-MTADDED-LLMSTRICT-AUTHOR_KEYWORDS-ABSTRACT</x:v>
      </x:c>
      <x:c r="C52" s="11" t="str">
        <x:v>MT:author_keywords; LLM:abstract</x:v>
      </x:c>
      <x:c r="D52"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53" ht="114" customHeight="1">
      <x:c r="A53" s="11" t="str">
        <x:v>IEEE Xplore</x:v>
      </x:c>
      <x:c r="B53" s="11" t="str">
        <x:v>IEEE-SENS-MTSTRICT-LLMADDED-AUTHOR_KEYWORDS-ABSTRACT</x:v>
      </x:c>
      <x:c r="C53" s="11" t="str">
        <x:v>MT:author_keywords; LLM:abstract</x:v>
      </x:c>
      <x:c r="D53"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("Abstract":"Large Language Models" OR "Abstract":"LLMs" OR "Abstract":"Code Models" OR "Abstract":"Deep Code Model" OR "Abstract":"Deep Code Models" OR "Abstract":"LLM Agents" OR "Abstract":"AI Agents")</x:v>
      </x:c>
    </x:row>
    <x:row r="54" ht="114" customHeight="1">
      <x:c r="A54" s="11" t="str">
        <x:v>IEEE Xplore</x:v>
      </x:c>
      <x:c r="B54" s="11" t="str">
        <x:v>IEEE-SENS-BOTHADDED-AUTHOR_KEYWORDS-ABSTRACT</x:v>
      </x:c>
      <x:c r="C54" s="11" t="str">
        <x:v>MT:author_keywords; LLM:abstract</x:v>
      </x:c>
      <x:c r="D54"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("Abstract":"Large Language Models" OR "Abstract":"LLMs" OR "Abstract":"Code Models" OR "Abstract":"Deep Code Model" OR "Abstract":"Deep Code Models" OR "Abstract":"LLM Agents" OR "Abstract":"AI Agents")</x:v>
      </x:c>
    </x:row>
    <x:row r="55" ht="146" customHeight="1">
      <x:c r="A55" s="11" t="str">
        <x:v>IEEE Xplore</x:v>
      </x:c>
      <x:c r="B55" s="11" t="str">
        <x:v>IEEE-SENS-MTADDED-LLMSTRICT-AUTHOR_KEYWORDS-AUTHOR_KEYWORDS</x:v>
      </x:c>
      <x:c r="C55" s="11" t="str">
        <x:v>MT:author_keywords; LLM:author_keywords</x:v>
      </x:c>
      <x:c r="D55"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56" ht="130" customHeight="1">
      <x:c r="A56" s="11" t="str">
        <x:v>IEEE Xplore</x:v>
      </x:c>
      <x:c r="B56" s="11" t="str">
        <x:v>IEEE-SENS-MTSTRICT-LLMADDED-AUTHOR_KEYWORDS-AUTHOR_KEYWORDS</x:v>
      </x:c>
      <x:c r="C56" s="11" t="str">
        <x:v>MT:author_keywords; LLM:author_keywords</x:v>
      </x:c>
      <x:c r="D56"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("Author Keywords":"Large Language Models" OR "Author Keywords":"LLMs" OR "Author Keywords":"Code Models" OR "Author Keywords":"Deep Code Model" OR "Author Keywords":"Deep Code Models" OR "Author Keywords":"LLM Agents" OR "Author Keywords":"AI Agents")</x:v>
      </x:c>
    </x:row>
    <x:row r="57" ht="130" customHeight="1">
      <x:c r="A57" s="11" t="str">
        <x:v>IEEE Xplore</x:v>
      </x:c>
      <x:c r="B57" s="11" t="str">
        <x:v>IEEE-SENS-BOTHADDED-AUTHOR_KEYWORDS-AUTHOR_KEYWORDS</x:v>
      </x:c>
      <x:c r="C57" s="11" t="str">
        <x:v>MT:author_keywords; LLM:author_keywords</x:v>
      </x:c>
      <x:c r="D57"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("Author Keywords":"Large Language Models" OR "Author Keywords":"LLMs" OR "Author Keywords":"Code Models" OR "Author Keywords":"Deep Code Model" OR "Author Keywords":"Deep Code Models" OR "Author Keywords":"LLM Agents" OR "Author Keywords":"AI Agents")</x:v>
      </x:c>
    </x:row>
    <x:row r="58" ht="146" customHeight="1">
      <x:c r="A58" s="11" t="str">
        <x:v>IEEE Xplore</x:v>
      </x:c>
      <x:c r="B58" s="11" t="str">
        <x:v>IEEE-STRICT-TITLE-TITLE</x:v>
      </x:c>
      <x:c r="C58" s="11" t="str">
        <x:v>MT:title; LLM:title</x:v>
      </x:c>
      <x:c r="D58"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59" ht="130" customHeight="1">
      <x:c r="A59" s="11" t="str">
        <x:v>IEEE Xplore</x:v>
      </x:c>
      <x:c r="B59" s="11" t="str">
        <x:v>IEEE-STRICT-TITLE-ABSTRACT</x:v>
      </x:c>
      <x:c r="C59" s="11" t="str">
        <x:v>MT:title; LLM:abstract</x:v>
      </x:c>
      <x:c r="D59"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0" ht="146" customHeight="1">
      <x:c r="A60" s="11" t="str">
        <x:v>IEEE Xplore</x:v>
      </x:c>
      <x:c r="B60" s="11" t="str">
        <x:v>IEEE-STRICT-TITLE-AUTHOR_KEYWORDS</x:v>
      </x:c>
      <x:c r="C60" s="11" t="str">
        <x:v>MT:title; LLM:author_keywords</x:v>
      </x:c>
      <x:c r="D60"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1" ht="130" customHeight="1">
      <x:c r="A61" s="11" t="str">
        <x:v>IEEE Xplore</x:v>
      </x:c>
      <x:c r="B61" s="11" t="str">
        <x:v>IEEE-STRICT-ABSTRACT-TITLE</x:v>
      </x:c>
      <x:c r="C61" s="11" t="str">
        <x:v>MT:abstract; LLM:title</x:v>
      </x:c>
      <x:c r="D61" s="11" t="str">
        <x:v>("Abstract":"Metamorphic Testing" OR "Abstract":"Metamorphic Relation" OR "Abstract":"Metamorphic Group" OR "Abstract":"Metamorphic Oracle" OR "Abstract":"Metamorphic Transformation" OR "Abstract":"Metamorphic Evaluation" OR "Abstract":"Metamorphic Specification" OR "Abstract":"Metamorphic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62" ht="130" customHeight="1">
      <x:c r="A62" s="11" t="str">
        <x:v>IEEE Xplore</x:v>
      </x:c>
      <x:c r="B62" s="11" t="str">
        <x:v>IEEE-STRICT-ABSTRACT-ABSTRACT</x:v>
      </x:c>
      <x:c r="C62" s="11" t="str">
        <x:v>MT:abstract; LLM:abstract</x:v>
      </x:c>
      <x:c r="D62" s="11" t="str">
        <x:v>("Abstract":"Metamorphic Testing" OR "Abstract":"Metamorphic Relation" OR "Abstract":"Metamorphic Group" OR "Abstract":"Metamorphic Oracle" OR "Abstract":"Metamorphic Transformation" OR "Abstract":"Metamorphic Evaluation" OR "Abstract":"Metamorphic Specification" OR "Abstract":"Metamorphic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3" ht="146" customHeight="1">
      <x:c r="A63" s="11" t="str">
        <x:v>IEEE Xplore</x:v>
      </x:c>
      <x:c r="B63" s="11" t="str">
        <x:v>IEEE-STRICT-ABSTRACT-AUTHOR_KEYWORDS</x:v>
      </x:c>
      <x:c r="C63" s="11" t="str">
        <x:v>MT:abstract; LLM:author_keywords</x:v>
      </x:c>
      <x:c r="D63" s="11" t="str">
        <x:v>("Abstract":"Metamorphic Testing" OR "Abstract":"Metamorphic Relation" OR "Abstract":"Metamorphic Group" OR "Abstract":"Metamorphic Oracle" OR "Abstract":"Metamorphic Transformation" OR "Abstract":"Metamorphic Evaluation" OR "Abstract":"Metamorphic Specification" OR "Abstract":"Metamorphic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4" ht="146" customHeight="1">
      <x:c r="A64" s="11" t="str">
        <x:v>IEEE Xplore</x:v>
      </x:c>
      <x:c r="B64" s="11" t="str">
        <x:v>IEEE-STRICT-AUTHOR_KEYWORDS-TITLE</x:v>
      </x:c>
      <x:c r="C64" s="11" t="str">
        <x:v>MT:author_keywords; LLM:title</x:v>
      </x:c>
      <x:c r="D64"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65" ht="130" customHeight="1">
      <x:c r="A65" s="11" t="str">
        <x:v>IEEE Xplore</x:v>
      </x:c>
      <x:c r="B65" s="11" t="str">
        <x:v>IEEE-STRICT-AUTHOR_KEYWORDS-ABSTRACT</x:v>
      </x:c>
      <x:c r="C65" s="11" t="str">
        <x:v>MT:author_keywords; LLM:abstract</x:v>
      </x:c>
      <x:c r="D65"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6" ht="146" customHeight="1">
      <x:c r="A66" s="11" t="str">
        <x:v>IEEE Xplore</x:v>
      </x:c>
      <x:c r="B66" s="11" t="str">
        <x:v>IEEE-STRICT-AUTHOR_KEYWORDS-AUTHOR_KEYWORDS</x:v>
      </x:c>
      <x:c r="C66" s="11" t="str">
        <x:v>MT:author_keywords; LLM:author_keywords</x:v>
      </x:c>
      <x:c r="D66"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7" ht="66" customHeight="1">
      <x:c r="A67" s="10" t="str">
        <x:v>ScienceDirect</x:v>
      </x:c>
      <x:c r="B67" s="10" t="str">
        <x:v>SD-STRICT-TT-01-01</x:v>
      </x:c>
      <x:c r="C67" s="10" t="str">
        <x:v>MT:Title; LLM:Title</x:v>
      </x:c>
      <x:c r="D67" s="10" t="str">
        <x:v>title: (("Metamorphic Testing" OR "Metamorphic Relation") AND ("Large Language Model" OR "LLM" OR "GPT" OR "DeepSeek"))</x:v>
      </x:c>
    </x:row>
    <x:row r="68" ht="66" customHeight="1">
      <x:c r="A68" s="10" t="str">
        <x:v>ScienceDirect</x:v>
      </x:c>
      <x:c r="B68" s="10" t="str">
        <x:v>SD-STRICT-TT-01-02</x:v>
      </x:c>
      <x:c r="C68" s="10" t="str">
        <x:v>MT:Title; LLM:Title</x:v>
      </x:c>
      <x:c r="D68" s="10" t="str">
        <x:v>title: (("Metamorphic Testing" OR "Metamorphic Relation") AND ("Claude" OR "Gemini" OR "Code Generation" OR "Code Model"))</x:v>
      </x:c>
    </x:row>
    <x:row r="69" ht="66" customHeight="1">
      <x:c r="A69" s="10" t="str">
        <x:v>ScienceDirect</x:v>
      </x:c>
      <x:c r="B69" s="10" t="str">
        <x:v>SD-STRICT-TT-01-03</x:v>
      </x:c>
      <x:c r="C69" s="10" t="str">
        <x:v>MT:Title; LLM:Title</x:v>
      </x:c>
      <x:c r="D69" s="10" t="str">
        <x:v>title: (("Metamorphic Testing" OR "Metamorphic Relation") AND ("Retrieval-Augmented Generation" OR "RAG" OR "LLM Agent"))</x:v>
      </x:c>
    </x:row>
    <x:row r="70" ht="66" customHeight="1">
      <x:c r="A70" s="10" t="str">
        <x:v>ScienceDirect</x:v>
      </x:c>
      <x:c r="B70" s="10" t="str">
        <x:v>SD-STRICT-TT-01-04</x:v>
      </x:c>
      <x:c r="C70" s="10" t="str">
        <x:v>MT:Title; LLM:Title</x:v>
      </x:c>
      <x:c r="D70" s="10" t="str">
        <x:v>title: (("Metamorphic Testing" OR "Metamorphic Relation") AND ("AI Agent"))</x:v>
      </x:c>
    </x:row>
    <x:row r="71" ht="66" customHeight="1">
      <x:c r="A71" s="10" t="str">
        <x:v>ScienceDirect</x:v>
      </x:c>
      <x:c r="B71" s="10" t="str">
        <x:v>SD-STRICT-TT-02-01</x:v>
      </x:c>
      <x:c r="C71" s="10" t="str">
        <x:v>MT:Title; LLM:Title</x:v>
      </x:c>
      <x:c r="D71" s="10" t="str">
        <x:v>title: (("Metamorphic Group" OR "Metamorphic Oracle") AND ("Large Language Model" OR "LLM" OR "GPT" OR "DeepSeek"))</x:v>
      </x:c>
    </x:row>
    <x:row r="72" ht="66" customHeight="1">
      <x:c r="A72" s="10" t="str">
        <x:v>ScienceDirect</x:v>
      </x:c>
      <x:c r="B72" s="10" t="str">
        <x:v>SD-STRICT-TT-02-02</x:v>
      </x:c>
      <x:c r="C72" s="10" t="str">
        <x:v>MT:Title; LLM:Title</x:v>
      </x:c>
      <x:c r="D72" s="10" t="str">
        <x:v>title: (("Metamorphic Group" OR "Metamorphic Oracle") AND ("Claude" OR "Gemini" OR "Code Generation" OR "Code Model"))</x:v>
      </x:c>
    </x:row>
    <x:row r="73" ht="66" customHeight="1">
      <x:c r="A73" s="10" t="str">
        <x:v>ScienceDirect</x:v>
      </x:c>
      <x:c r="B73" s="10" t="str">
        <x:v>SD-STRICT-TT-02-03</x:v>
      </x:c>
      <x:c r="C73" s="10" t="str">
        <x:v>MT:Title; LLM:Title</x:v>
      </x:c>
      <x:c r="D73" s="10" t="str">
        <x:v>title: (("Metamorphic Group" OR "Metamorphic Oracle") AND ("Retrieval-Augmented Generation" OR "RAG" OR "LLM Agent"))</x:v>
      </x:c>
    </x:row>
    <x:row r="74" ht="66" customHeight="1">
      <x:c r="A74" s="10" t="str">
        <x:v>ScienceDirect</x:v>
      </x:c>
      <x:c r="B74" s="10" t="str">
        <x:v>SD-STRICT-TT-02-04</x:v>
      </x:c>
      <x:c r="C74" s="10" t="str">
        <x:v>MT:Title; LLM:Title</x:v>
      </x:c>
      <x:c r="D74" s="10" t="str">
        <x:v>title: (("Metamorphic Group" OR "Metamorphic Oracle") AND ("AI Agent"))</x:v>
      </x:c>
    </x:row>
    <x:row r="75" ht="66" customHeight="1">
      <x:c r="A75" s="10" t="str">
        <x:v>ScienceDirect</x:v>
      </x:c>
      <x:c r="B75" s="10" t="str">
        <x:v>SD-STRICT-TT-03-01</x:v>
      </x:c>
      <x:c r="C75" s="10" t="str">
        <x:v>MT:Title; LLM:Title</x:v>
      </x:c>
      <x:c r="D75" s="10" t="str">
        <x:v>title: (("Metamorphic Transformation" OR "Metamorphic Evaluation") AND ("Large Language Model" OR "LLM" OR "GPT" OR "DeepSeek"))</x:v>
      </x:c>
    </x:row>
    <x:row r="76" ht="66" customHeight="1">
      <x:c r="A76" s="10" t="str">
        <x:v>ScienceDirect</x:v>
      </x:c>
      <x:c r="B76" s="10" t="str">
        <x:v>SD-STRICT-TT-03-02</x:v>
      </x:c>
      <x:c r="C76" s="10" t="str">
        <x:v>MT:Title; LLM:Title</x:v>
      </x:c>
      <x:c r="D76" s="10" t="str">
        <x:v>title: (("Metamorphic Transformation" OR "Metamorphic Evaluation") AND ("Claude" OR "Gemini" OR "Code Generation" OR "Code Model"))</x:v>
      </x:c>
    </x:row>
    <x:row r="77" ht="66" customHeight="1">
      <x:c r="A77" s="10" t="str">
        <x:v>ScienceDirect</x:v>
      </x:c>
      <x:c r="B77" s="10" t="str">
        <x:v>SD-STRICT-TT-03-03</x:v>
      </x:c>
      <x:c r="C77" s="10" t="str">
        <x:v>MT:Title; LLM:Title</x:v>
      </x:c>
      <x:c r="D77" s="10" t="str">
        <x:v>title: (("Metamorphic Transformation" OR "Metamorphic Evaluation") AND ("Retrieval-Augmented Generation" OR "RAG" OR "LLM Agent"))</x:v>
      </x:c>
    </x:row>
    <x:row r="78" ht="66" customHeight="1">
      <x:c r="A78" s="10" t="str">
        <x:v>ScienceDirect</x:v>
      </x:c>
      <x:c r="B78" s="10" t="str">
        <x:v>SD-STRICT-TT-03-04</x:v>
      </x:c>
      <x:c r="C78" s="10" t="str">
        <x:v>MT:Title; LLM:Title</x:v>
      </x:c>
      <x:c r="D78" s="10" t="str">
        <x:v>title: (("Metamorphic Transformation" OR "Metamorphic Evaluation") AND ("AI Agent"))</x:v>
      </x:c>
    </x:row>
    <x:row r="79" ht="66" customHeight="1">
      <x:c r="A79" s="10" t="str">
        <x:v>ScienceDirect</x:v>
      </x:c>
      <x:c r="B79" s="10" t="str">
        <x:v>SD-STRICT-TT-04-01</x:v>
      </x:c>
      <x:c r="C79" s="10" t="str">
        <x:v>MT:Title; LLM:Title</x:v>
      </x:c>
      <x:c r="D79" s="10" t="str">
        <x:v>title: (("Metamorphic Specification" OR "Metamorphic Prompt") AND ("Large Language Model" OR "LLM" OR "GPT" OR "DeepSeek"))</x:v>
      </x:c>
    </x:row>
    <x:row r="80" ht="66" customHeight="1">
      <x:c r="A80" s="10" t="str">
        <x:v>ScienceDirect</x:v>
      </x:c>
      <x:c r="B80" s="10" t="str">
        <x:v>SD-STRICT-TT-04-02</x:v>
      </x:c>
      <x:c r="C80" s="10" t="str">
        <x:v>MT:Title; LLM:Title</x:v>
      </x:c>
      <x:c r="D80" s="10" t="str">
        <x:v>title: (("Metamorphic Specification" OR "Metamorphic Prompt") AND ("Claude" OR "Gemini" OR "Code Generation" OR "Code Model"))</x:v>
      </x:c>
    </x:row>
    <x:row r="81" ht="66" customHeight="1">
      <x:c r="A81" s="10" t="str">
        <x:v>ScienceDirect</x:v>
      </x:c>
      <x:c r="B81" s="10" t="str">
        <x:v>SD-STRICT-TT-04-03</x:v>
      </x:c>
      <x:c r="C81" s="10" t="str">
        <x:v>MT:Title; LLM:Title</x:v>
      </x:c>
      <x:c r="D81" s="10" t="str">
        <x:v>title: (("Metamorphic Specification" OR "Metamorphic Prompt") AND ("Retrieval-Augmented Generation" OR "RAG" OR "LLM Agent"))</x:v>
      </x:c>
    </x:row>
    <x:row r="82" ht="66" customHeight="1">
      <x:c r="A82" s="10" t="str">
        <x:v>ScienceDirect</x:v>
      </x:c>
      <x:c r="B82" s="10" t="str">
        <x:v>SD-STRICT-TT-04-04</x:v>
      </x:c>
      <x:c r="C82" s="10" t="str">
        <x:v>MT:Title; LLM:Title</x:v>
      </x:c>
      <x:c r="D82" s="10" t="str">
        <x:v>title: (("Metamorphic Specification" OR "Metamorphic Prompt") AND ("AI Agent"))</x:v>
      </x:c>
    </x:row>
    <x:row r="83" ht="66" customHeight="1">
      <x:c r="A83" s="10" t="str">
        <x:v>ScienceDirect</x:v>
      </x:c>
      <x:c r="B83" s="10" t="str">
        <x:v>SD-STRICT-T-TAK-01-01</x:v>
      </x:c>
      <x:c r="C83" s="10" t="str">
        <x:v>MT:Title; LLM:TAK</x:v>
      </x:c>
      <x:c r="D83" s="10" t="str">
        <x:v>title: (("Metamorphic Testing" OR "Metamorphic Relation" OR "Metamorphic Group" OR "Metamorphic Oracle" OR "Metamorphic Transformation")) AND tak: (("Large Language Model" OR "LLM" OR "GPT" OR "DeepSeek" OR "Claude" OR "Gemini" OR "Code Generation" OR "Code Model"))</x:v>
      </x:c>
    </x:row>
    <x:row r="84" ht="66" customHeight="1">
      <x:c r="A84" s="10" t="str">
        <x:v>ScienceDirect</x:v>
      </x:c>
      <x:c r="B84" s="10" t="str">
        <x:v>SD-STRICT-T-TAK-01-02</x:v>
      </x:c>
      <x:c r="C84" s="10" t="str">
        <x:v>MT:Title; LLM:TAK</x:v>
      </x:c>
      <x:c r="D84" s="10" t="str">
        <x:v>title: (("Metamorphic Testing" OR "Metamorphic Relation" OR "Metamorphic Group" OR "Metamorphic Oracle" OR "Metamorphic Transformation")) AND tak: (("Retrieval-Augmented Generation" OR "RAG" OR "LLM Agent" OR "AI Agent"))</x:v>
      </x:c>
    </x:row>
    <x:row r="85" ht="66" customHeight="1">
      <x:c r="A85" s="10" t="str">
        <x:v>ScienceDirect</x:v>
      </x:c>
      <x:c r="B85" s="10" t="str">
        <x:v>SD-STRICT-T-TAK-02-01</x:v>
      </x:c>
      <x:c r="C85" s="10" t="str">
        <x:v>MT:Title; LLM:TAK</x:v>
      </x:c>
      <x:c r="D85" s="10" t="str">
        <x:v>title: (("Metamorphic Evaluation" OR "Metamorphic Specification" OR "Metamorphic Prompt")) AND tak: (("Large Language Model" OR "LLM" OR "GPT" OR "DeepSeek" OR "Claude" OR "Gemini" OR "Code Generation" OR "Code Model"))</x:v>
      </x:c>
    </x:row>
    <x:row r="86" ht="66" customHeight="1">
      <x:c r="A86" s="10" t="str">
        <x:v>ScienceDirect</x:v>
      </x:c>
      <x:c r="B86" s="10" t="str">
        <x:v>SD-STRICT-T-TAK-02-02</x:v>
      </x:c>
      <x:c r="C86" s="10" t="str">
        <x:v>MT:Title; LLM:TAK</x:v>
      </x:c>
      <x:c r="D86" s="10" t="str">
        <x:v>title: (("Metamorphic Evaluation" OR "Metamorphic Specification" OR "Metamorphic Prompt")) AND tak: (("Retrieval-Augmented Generation" OR "RAG" OR "LLM Agent" OR "AI Agent"))</x:v>
      </x:c>
    </x:row>
    <x:row r="87" ht="82" customHeight="1">
      <x:c r="A87" s="10" t="str">
        <x:v>ScienceDirect</x:v>
      </x:c>
      <x:c r="B87" s="10" t="str">
        <x:v>SD-STRICT-TAK-T-01-01</x:v>
      </x:c>
      <x:c r="C87" s="10" t="str">
        <x:v>MT:TAK; LLM:Title</x:v>
      </x:c>
      <x:c r="D87" s="10" t="str">
        <x:v>title: (("Large Language Model" OR "LLM" OR "GPT" OR "DeepSeek" OR "Claude" OR "Gemini" OR "Code Generation" OR "Code Model")) AND tak: (("Metamorphic Testing" OR "Metamorphic Relation" OR "Metamorphic Group" OR "Metamorphic Oracle" OR "Metamorphic Transformation" OR "Metamorphic Evaluation" OR "Metamorphic Specification" OR "Metamorphic Prompt"))</x:v>
      </x:c>
    </x:row>
    <x:row r="88" ht="82" customHeight="1">
      <x:c r="A88" s="10" t="str">
        <x:v>ScienceDirect</x:v>
      </x:c>
      <x:c r="B88" s="10" t="str">
        <x:v>SD-STRICT-TAK-T-01-02</x:v>
      </x:c>
      <x:c r="C88" s="10" t="str">
        <x:v>MT:TAK; LLM:Title</x:v>
      </x:c>
      <x:c r="D88" s="10" t="str">
        <x:v>title: (("Retrieval-Augmented Generation" OR "RAG" OR "LLM Agent" OR "AI Agent")) AND tak: (("Metamorphic Testing" OR "Metamorphic Relation" OR "Metamorphic Group" OR "Metamorphic Oracle" OR "Metamorphic Transformation" OR "Metamorphic Evaluation" OR "Metamorphic Specification" OR "Metamorphic Prompt"))</x:v>
      </x:c>
    </x:row>
    <x:row r="89" ht="66" customHeight="1">
      <x:c r="A89" s="10" t="str">
        <x:v>ScienceDirect</x:v>
      </x:c>
      <x:c r="B89" s="10" t="str">
        <x:v>SD-STRICT-TAK-TAK-01-01</x:v>
      </x:c>
      <x:c r="C89" s="10" t="str">
        <x:v>MT:TAK; LLM:TAK</x:v>
      </x:c>
      <x:c r="D89" s="10" t="str">
        <x:v>tak: (("Metamorphic Testing" OR "Metamorphic Relation" OR "Metamorphic Group" OR "Metamorphic Oracle" OR "Metamorphic Transformation") AND ("Large Language Model" OR "LLM" OR "GPT" OR "DeepSeek"))</x:v>
      </x:c>
    </x:row>
    <x:row r="90" ht="66" customHeight="1">
      <x:c r="A90" s="10" t="str">
        <x:v>ScienceDirect</x:v>
      </x:c>
      <x:c r="B90" s="10" t="str">
        <x:v>SD-STRICT-TAK-TAK-01-02</x:v>
      </x:c>
      <x:c r="C90" s="10" t="str">
        <x:v>MT:TAK; LLM:TAK</x:v>
      </x:c>
      <x:c r="D90" s="10" t="str">
        <x:v>tak: (("Metamorphic Testing" OR "Metamorphic Relation" OR "Metamorphic Group" OR "Metamorphic Oracle" OR "Metamorphic Transformation") AND ("Claude" OR "Gemini" OR "Code Generation" OR "Code Model"))</x:v>
      </x:c>
    </x:row>
    <x:row r="91" ht="66" customHeight="1">
      <x:c r="A91" s="10" t="str">
        <x:v>ScienceDirect</x:v>
      </x:c>
      <x:c r="B91" s="10" t="str">
        <x:v>SD-STRICT-TAK-TAK-01-03</x:v>
      </x:c>
      <x:c r="C91" s="10" t="str">
        <x:v>MT:TAK; LLM:TAK</x:v>
      </x:c>
      <x:c r="D91" s="10" t="str">
        <x:v>tak: (("Metamorphic Testing" OR "Metamorphic Relation" OR "Metamorphic Group" OR "Metamorphic Oracle" OR "Metamorphic Transformation") AND ("Retrieval-Augmented Generation" OR "RAG" OR "LLM Agent"))</x:v>
      </x:c>
    </x:row>
    <x:row r="92" ht="66" customHeight="1">
      <x:c r="A92" s="10" t="str">
        <x:v>ScienceDirect</x:v>
      </x:c>
      <x:c r="B92" s="10" t="str">
        <x:v>SD-STRICT-TAK-TAK-01-04</x:v>
      </x:c>
      <x:c r="C92" s="10" t="str">
        <x:v>MT:TAK; LLM:TAK</x:v>
      </x:c>
      <x:c r="D92" s="10" t="str">
        <x:v>tak: (("Metamorphic Testing" OR "Metamorphic Relation" OR "Metamorphic Group" OR "Metamorphic Oracle" OR "Metamorphic Transformation") AND ("AI Agent"))</x:v>
      </x:c>
    </x:row>
    <x:row r="93" ht="66" customHeight="1">
      <x:c r="A93" s="10" t="str">
        <x:v>ScienceDirect</x:v>
      </x:c>
      <x:c r="B93" s="10" t="str">
        <x:v>SD-STRICT-TAK-TAK-02-01</x:v>
      </x:c>
      <x:c r="C93" s="10" t="str">
        <x:v>MT:TAK; LLM:TAK</x:v>
      </x:c>
      <x:c r="D93" s="10" t="str">
        <x:v>tak: (("Metamorphic Evaluation" OR "Metamorphic Specification" OR "Metamorphic Prompt") AND ("Large Language Model" OR "LLM" OR "GPT" OR "DeepSeek"))</x:v>
      </x:c>
    </x:row>
    <x:row r="94" ht="66" customHeight="1">
      <x:c r="A94" s="10" t="str">
        <x:v>ScienceDirect</x:v>
      </x:c>
      <x:c r="B94" s="10" t="str">
        <x:v>SD-STRICT-TAK-TAK-02-02</x:v>
      </x:c>
      <x:c r="C94" s="10" t="str">
        <x:v>MT:TAK; LLM:TAK</x:v>
      </x:c>
      <x:c r="D94" s="10" t="str">
        <x:v>tak: (("Metamorphic Evaluation" OR "Metamorphic Specification" OR "Metamorphic Prompt") AND ("Claude" OR "Gemini" OR "Code Generation" OR "Code Model"))</x:v>
      </x:c>
    </x:row>
    <x:row r="95" ht="66" customHeight="1">
      <x:c r="A95" s="10" t="str">
        <x:v>ScienceDirect</x:v>
      </x:c>
      <x:c r="B95" s="10" t="str">
        <x:v>SD-STRICT-TAK-TAK-02-03</x:v>
      </x:c>
      <x:c r="C95" s="10" t="str">
        <x:v>MT:TAK; LLM:TAK</x:v>
      </x:c>
      <x:c r="D95" s="10" t="str">
        <x:v>tak: (("Metamorphic Evaluation" OR "Metamorphic Specification" OR "Metamorphic Prompt") AND ("Retrieval-Augmented Generation" OR "RAG" OR "LLM Agent"))</x:v>
      </x:c>
    </x:row>
    <x:row r="96" ht="66" customHeight="1">
      <x:c r="A96" s="10" t="str">
        <x:v>ScienceDirect</x:v>
      </x:c>
      <x:c r="B96" s="10" t="str">
        <x:v>SD-STRICT-TAK-TAK-02-04</x:v>
      </x:c>
      <x:c r="C96" s="10" t="str">
        <x:v>MT:TAK; LLM:TAK</x:v>
      </x:c>
      <x:c r="D96" s="10" t="str">
        <x:v>tak: (("Metamorphic Evaluation" OR "Metamorphic Specification" OR "Metamorphic Prompt") AND ("AI Agent"))</x:v>
      </x:c>
    </x:row>
    <x:row r="97" ht="66" customHeight="1">
      <x:c r="A97" s="10" t="str">
        <x:v>ScienceDirect</x:v>
      </x:c>
      <x:c r="B97" s="10" t="str">
        <x:v>SD-SENSITIVITY-01</x:v>
      </x:c>
      <x:c r="C97" s="10" t="str">
        <x:v>MT:TAK; LLM:TAK</x:v>
      </x:c>
      <x:c r="D97" s="10" t="str">
        <x:v>tak: (("Metamorphic Prompting") AND ("Large Language Model" OR "LLM" OR "GPT" OR "DeepSeek" OR "Claude" OR "Gemini" OR "Code Generation" OR "Code Model"))</x:v>
      </x:c>
    </x:row>
    <x:row r="98" ht="66" customHeight="1">
      <x:c r="A98" s="10" t="str">
        <x:v>ScienceDirect</x:v>
      </x:c>
      <x:c r="B98" s="10" t="str">
        <x:v>SD-SENSITIVITY-02</x:v>
      </x:c>
      <x:c r="C98" s="10" t="str">
        <x:v>MT:TAK; LLM:TAK</x:v>
      </x:c>
      <x:c r="D98" s="10" t="str">
        <x:v>tak: (("Metamorphic Prompting") AND ("Retrieval-Augmented Generation" OR "RAG" OR "LLM Agent" OR "AI Agent"))</x:v>
      </x:c>
    </x:row>
    <x:row r="99" ht="98" customHeight="1">
      <x:c r="A99" s="11" t="str">
        <x:v>SpringerLink</x:v>
      </x:c>
      <x:c r="B99" s="11" t="str">
        <x:v>SPRINGER-CORE</x:v>
      </x:c>
      <x:c r="C99" s="11" t="str">
        <x:v>Keywords</x:v>
      </x:c>
      <x:c r="D99" s="11" t="str">
        <x:v>("Metamorphic Testing" OR "Metamorphic Relation" OR "Metamorphic Group" OR "Metamorphic Oracle" OR "Metamorphic Transformation" OR "Metamorphic Evaluation" OR "Metamorphic Specification" OR "Metamorphic Prompt") AND ("Large Language Model" OR "LLM" OR "GPT" OR "DeepSeek" OR "Claude" OR "Gemini" OR "Code Generation" OR "Code Model" OR "Retrieval-Augmented Generation" OR "RAG" OR "LLM Agent" OR "AI Agent")</x:v>
      </x:c>
    </x:row>
    <x:row r="100" ht="66" customHeight="1">
      <x:c r="A100" s="11" t="str">
        <x:v>SpringerLink</x:v>
      </x:c>
      <x:c r="B100" s="11" t="str">
        <x:v>SPRINGER-SENSITIVITY</x:v>
      </x:c>
      <x:c r="C100" s="11" t="str">
        <x:v>Keywords</x:v>
      </x:c>
      <x:c r="D100" s="11" t="str">
        <x:v>("Metamorphic Prompting") AND ("Large Language Model" OR "LLM" OR "GPT" OR "DeepSeek" OR "Claude" OR "Gemini" OR "Code Generation" OR "Code Model" OR "Retrieval-Augmented Generation" OR "RAG" OR "LLM Agent" OR "AI Agent")</x:v>
      </x:c>
    </x:row>
    <x:row r="101" ht="114" customHeight="1">
      <x:c r="A101" s="10" t="str">
        <x:v>arXiv</x:v>
      </x:c>
      <x:c r="B101" s="10" t="str">
        <x:v>AX-CORE-WEB-01</x:v>
      </x:c>
      <x:c r="C101" s="10" t="str">
        <x:v>All fields × All fields (AND)</x:v>
      </x:c>
      <x:c r="D101" s="10" t="str">
        <x:v>(all:"Metamorphic Testing" OR all:"Metamorphic Relation" OR all:"Metamorphic Group" OR all:"Metamorphic Oracle" OR all:"Metamorphic Transformation" OR all:"Metamorphic Evaluation" OR all:"Metamorphic Specification" OR all:"Metamorphic Prompt") AND (all:"Large Language Model" OR all:LLM OR all:GPT OR all:DeepSeek OR all:Claude OR all:Gemini OR all:"Code Generation" OR all:"Code Model" OR all:"Retrieval-Augmented Generation" OR all:RAG OR all:"LLM Agent" OR all:"AI Agent") AND submittedDate:[202301010000 TO 202608252359]</x:v>
      </x:c>
    </x:row>
    <x:row r="102" ht="82" customHeight="1">
      <x:c r="A102" s="10" t="str">
        <x:v>arXiv</x:v>
      </x:c>
      <x:c r="B102" s="10" t="str">
        <x:v>AX-SENS-WEB-01</x:v>
      </x:c>
      <x:c r="C102" s="10" t="str">
        <x:v>All fields × All fields (AND)</x:v>
      </x:c>
      <x:c r="D102" s="10" t="str">
        <x:v>all:"Metamorphic Prompting" AND (all:"Large Language Model" OR all:"LLM" OR all:"GPT" OR all:"DeepSeek" OR all:"Claude" OR all:"Gemini" OR all:"Code Generation" OR all:"Code Model" OR all:"Retrieval-Augmented Generation" OR all:"RAG" OR all:"LLM Agent" OR all:"AI Agent") AND submittedDate:[202301010000 TO 202608252359]</x:v>
      </x:c>
    </x:row>
    <x:row r="103" ht="82" customHeight="1">
      <x:c r="A103" s="11" t="str">
        <x:v>Google Scholar</x:v>
      </x:c>
      <x:c r="B103" s="11" t="str">
        <x:v>GS-CORE</x:v>
      </x:c>
      <x:c r="C103" s="11" t="str">
        <x:v>Anywhere</x:v>
      </x:c>
      <x:c r="D103" s="11" t="str">
        <x:v>("Metamorphic Testing" OR "Metamorphic Relation" OR "Metamorphic Group" OR "Metamorphic Oracle" OR "Metamorphic Transformation" OR "Metamorphic Evaluation" OR "Metamorphic Specification" OR "Metamorphic Prompt") AND ("Large Language Model" OR LLM OR GPT OR DeepSeek OR Claude OR Gemini OR "Code Generation" OR "Code Model" OR "Retrieval-Augmented Generation" OR RAG OR "LLM Agent" OR "AI Agent")</x:v>
      </x:c>
    </x:row>
  </x:sheetData>
  <x:pageMargins left="0.7" right="0.7" top="0.75" bottom="0.75" header="0.3" footer="0.3"/>
  <x:legacyDrawing xmlns:r="http://schemas.openxmlformats.org/officeDocument/2006/relationships" r:id="R41bc8a4e607a4336"/>
  <x:tableParts count="1">
    <x:tablePart xmlns:r="http://schemas.openxmlformats.org/officeDocument/2006/relationships" r:id="R7713bb7005fb43bb"/>
  </x:tableParts>
</x:worksheet>
</file>